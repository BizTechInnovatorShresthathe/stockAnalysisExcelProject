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s\OneDrive\Documents\"/>
    </mc:Choice>
  </mc:AlternateContent>
  <xr:revisionPtr revIDLastSave="0" documentId="13_ncr:1_{9E979D18-1D1C-41FA-BB70-566204FA4A9C}" xr6:coauthVersionLast="47" xr6:coauthVersionMax="47" xr10:uidLastSave="{00000000-0000-0000-0000-000000000000}"/>
  <bookViews>
    <workbookView xWindow="-108" yWindow="-108" windowWidth="23256" windowHeight="12456" tabRatio="203" xr2:uid="{00000000-000D-0000-FFFF-FFFF00000000}"/>
  </bookViews>
  <sheets>
    <sheet name="ADANIPOWER.Xls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8" i="1" l="1"/>
  <c r="S37" i="1"/>
  <c r="S35" i="1"/>
  <c r="S34" i="1"/>
  <c r="AB1" i="1"/>
  <c r="AB3" i="1" s="1"/>
  <c r="S6" i="1"/>
  <c r="AA1" i="1"/>
  <c r="AA4" i="1" s="1"/>
  <c r="AB146" i="1" l="1"/>
  <c r="AA219" i="1"/>
  <c r="AB98" i="1"/>
  <c r="AA207" i="1"/>
  <c r="AB230" i="1"/>
  <c r="AB86" i="1"/>
  <c r="AA243" i="1"/>
  <c r="AB122" i="1"/>
  <c r="AB241" i="1"/>
  <c r="AA195" i="1"/>
  <c r="AB218" i="1"/>
  <c r="AB74" i="1"/>
  <c r="AA2" i="1"/>
  <c r="AB242" i="1"/>
  <c r="AB206" i="1"/>
  <c r="AA171" i="1"/>
  <c r="AB194" i="1"/>
  <c r="AB50" i="1"/>
  <c r="AB134" i="1"/>
  <c r="AA183" i="1"/>
  <c r="AA159" i="1"/>
  <c r="AB182" i="1"/>
  <c r="AB38" i="1"/>
  <c r="AB158" i="1"/>
  <c r="AA231" i="1"/>
  <c r="AB110" i="1"/>
  <c r="AB62" i="1"/>
  <c r="AA147" i="1"/>
  <c r="AB170" i="1"/>
  <c r="AB26" i="1"/>
  <c r="AB14" i="1"/>
  <c r="AB205" i="1"/>
  <c r="AB145" i="1"/>
  <c r="AB85" i="1"/>
  <c r="AB37" i="1"/>
  <c r="AB13" i="1"/>
  <c r="AB192" i="1"/>
  <c r="AB132" i="1"/>
  <c r="AB84" i="1"/>
  <c r="AB36" i="1"/>
  <c r="AB215" i="1"/>
  <c r="AB155" i="1"/>
  <c r="AB107" i="1"/>
  <c r="AB59" i="1"/>
  <c r="AB23" i="1"/>
  <c r="AB202" i="1"/>
  <c r="AB142" i="1"/>
  <c r="AB82" i="1"/>
  <c r="AB46" i="1"/>
  <c r="AB10" i="1"/>
  <c r="AB201" i="1"/>
  <c r="AB141" i="1"/>
  <c r="AB69" i="1"/>
  <c r="AB236" i="1"/>
  <c r="AB164" i="1"/>
  <c r="AB116" i="1"/>
  <c r="AB56" i="1"/>
  <c r="AB8" i="1"/>
  <c r="AB199" i="1"/>
  <c r="AB139" i="1"/>
  <c r="AB79" i="1"/>
  <c r="AB246" i="1"/>
  <c r="AB234" i="1"/>
  <c r="AB222" i="1"/>
  <c r="AB210" i="1"/>
  <c r="AB198" i="1"/>
  <c r="AB186" i="1"/>
  <c r="AB174" i="1"/>
  <c r="AB162" i="1"/>
  <c r="AB150" i="1"/>
  <c r="AB138" i="1"/>
  <c r="AB126" i="1"/>
  <c r="AB114" i="1"/>
  <c r="AB102" i="1"/>
  <c r="AB90" i="1"/>
  <c r="AB78" i="1"/>
  <c r="AB66" i="1"/>
  <c r="AB54" i="1"/>
  <c r="AB42" i="1"/>
  <c r="AB30" i="1"/>
  <c r="AB18" i="1"/>
  <c r="AB6" i="1"/>
  <c r="AB193" i="1"/>
  <c r="AB121" i="1"/>
  <c r="AB73" i="1"/>
  <c r="AB228" i="1"/>
  <c r="AB168" i="1"/>
  <c r="AB120" i="1"/>
  <c r="AB60" i="1"/>
  <c r="AB12" i="1"/>
  <c r="AB203" i="1"/>
  <c r="AB143" i="1"/>
  <c r="AB95" i="1"/>
  <c r="AB47" i="1"/>
  <c r="AB11" i="1"/>
  <c r="AB214" i="1"/>
  <c r="AB154" i="1"/>
  <c r="AB94" i="1"/>
  <c r="AB237" i="1"/>
  <c r="AB189" i="1"/>
  <c r="AB129" i="1"/>
  <c r="AB81" i="1"/>
  <c r="AB248" i="1"/>
  <c r="AB176" i="1"/>
  <c r="AB128" i="1"/>
  <c r="AB80" i="1"/>
  <c r="AB32" i="1"/>
  <c r="AB223" i="1"/>
  <c r="AB163" i="1"/>
  <c r="AB103" i="1"/>
  <c r="AB31" i="1"/>
  <c r="AB221" i="1"/>
  <c r="AB173" i="1"/>
  <c r="AB125" i="1"/>
  <c r="AB89" i="1"/>
  <c r="AB77" i="1"/>
  <c r="AB65" i="1"/>
  <c r="AB53" i="1"/>
  <c r="AB41" i="1"/>
  <c r="AB29" i="1"/>
  <c r="AB17" i="1"/>
  <c r="AB5" i="1"/>
  <c r="AB229" i="1"/>
  <c r="AB181" i="1"/>
  <c r="AB157" i="1"/>
  <c r="AB109" i="1"/>
  <c r="AB61" i="1"/>
  <c r="AB25" i="1"/>
  <c r="AB216" i="1"/>
  <c r="AB180" i="1"/>
  <c r="AB144" i="1"/>
  <c r="AB96" i="1"/>
  <c r="AB48" i="1"/>
  <c r="AB239" i="1"/>
  <c r="AB191" i="1"/>
  <c r="AB167" i="1"/>
  <c r="AB119" i="1"/>
  <c r="AB71" i="1"/>
  <c r="AB250" i="1"/>
  <c r="AB226" i="1"/>
  <c r="AB178" i="1"/>
  <c r="AB130" i="1"/>
  <c r="AB106" i="1"/>
  <c r="AB70" i="1"/>
  <c r="AB34" i="1"/>
  <c r="AB22" i="1"/>
  <c r="AB225" i="1"/>
  <c r="AB177" i="1"/>
  <c r="AB153" i="1"/>
  <c r="AB105" i="1"/>
  <c r="AB57" i="1"/>
  <c r="AB33" i="1"/>
  <c r="AB9" i="1"/>
  <c r="AB212" i="1"/>
  <c r="AB188" i="1"/>
  <c r="AB140" i="1"/>
  <c r="AB92" i="1"/>
  <c r="AB44" i="1"/>
  <c r="AB247" i="1"/>
  <c r="AB211" i="1"/>
  <c r="AB175" i="1"/>
  <c r="AB127" i="1"/>
  <c r="AB91" i="1"/>
  <c r="AB55" i="1"/>
  <c r="AB43" i="1"/>
  <c r="AB7" i="1"/>
  <c r="AB233" i="1"/>
  <c r="AB197" i="1"/>
  <c r="AB161" i="1"/>
  <c r="AB137" i="1"/>
  <c r="AB101" i="1"/>
  <c r="AB244" i="1"/>
  <c r="AB232" i="1"/>
  <c r="AB220" i="1"/>
  <c r="AB208" i="1"/>
  <c r="AB196" i="1"/>
  <c r="AB184" i="1"/>
  <c r="AB172" i="1"/>
  <c r="AB160" i="1"/>
  <c r="AB148" i="1"/>
  <c r="AB136" i="1"/>
  <c r="AB124" i="1"/>
  <c r="AB112" i="1"/>
  <c r="AB100" i="1"/>
  <c r="AB88" i="1"/>
  <c r="AB76" i="1"/>
  <c r="AB64" i="1"/>
  <c r="AB52" i="1"/>
  <c r="AB40" i="1"/>
  <c r="AB28" i="1"/>
  <c r="AB16" i="1"/>
  <c r="AB4" i="1"/>
  <c r="AB217" i="1"/>
  <c r="AB169" i="1"/>
  <c r="AB133" i="1"/>
  <c r="AB97" i="1"/>
  <c r="AB49" i="1"/>
  <c r="AB240" i="1"/>
  <c r="AB204" i="1"/>
  <c r="AB156" i="1"/>
  <c r="AB108" i="1"/>
  <c r="AB72" i="1"/>
  <c r="AB24" i="1"/>
  <c r="AB2" i="1"/>
  <c r="AB227" i="1"/>
  <c r="AB179" i="1"/>
  <c r="AB131" i="1"/>
  <c r="AB83" i="1"/>
  <c r="AB35" i="1"/>
  <c r="AB238" i="1"/>
  <c r="AB190" i="1"/>
  <c r="AB166" i="1"/>
  <c r="AB118" i="1"/>
  <c r="AB58" i="1"/>
  <c r="AB249" i="1"/>
  <c r="AB213" i="1"/>
  <c r="AB165" i="1"/>
  <c r="AB117" i="1"/>
  <c r="AB93" i="1"/>
  <c r="AB45" i="1"/>
  <c r="AB21" i="1"/>
  <c r="AB224" i="1"/>
  <c r="AB200" i="1"/>
  <c r="AB152" i="1"/>
  <c r="AB104" i="1"/>
  <c r="AB68" i="1"/>
  <c r="AB20" i="1"/>
  <c r="AB235" i="1"/>
  <c r="AB187" i="1"/>
  <c r="AB151" i="1"/>
  <c r="AB115" i="1"/>
  <c r="AB67" i="1"/>
  <c r="AB19" i="1"/>
  <c r="AB245" i="1"/>
  <c r="AB209" i="1"/>
  <c r="AB185" i="1"/>
  <c r="AB149" i="1"/>
  <c r="AB113" i="1"/>
  <c r="AB243" i="1"/>
  <c r="AB231" i="1"/>
  <c r="AB219" i="1"/>
  <c r="AB207" i="1"/>
  <c r="AB195" i="1"/>
  <c r="AB183" i="1"/>
  <c r="AB171" i="1"/>
  <c r="AB159" i="1"/>
  <c r="AB147" i="1"/>
  <c r="AB135" i="1"/>
  <c r="AB123" i="1"/>
  <c r="AB111" i="1"/>
  <c r="AB99" i="1"/>
  <c r="AB87" i="1"/>
  <c r="AB75" i="1"/>
  <c r="AB63" i="1"/>
  <c r="AB51" i="1"/>
  <c r="AB39" i="1"/>
  <c r="AB27" i="1"/>
  <c r="AB15" i="1"/>
  <c r="AA111" i="1"/>
  <c r="AA75" i="1"/>
  <c r="AA15" i="1"/>
  <c r="AA181" i="1"/>
  <c r="AA135" i="1"/>
  <c r="AA99" i="1"/>
  <c r="AA63" i="1"/>
  <c r="AA27" i="1"/>
  <c r="AA230" i="1"/>
  <c r="AA206" i="1"/>
  <c r="AA182" i="1"/>
  <c r="AA158" i="1"/>
  <c r="AA146" i="1"/>
  <c r="AA122" i="1"/>
  <c r="AA98" i="1"/>
  <c r="AA74" i="1"/>
  <c r="AA38" i="1"/>
  <c r="AA26" i="1"/>
  <c r="AA241" i="1"/>
  <c r="AA193" i="1"/>
  <c r="AA145" i="1"/>
  <c r="AA109" i="1"/>
  <c r="AA61" i="1"/>
  <c r="AA25" i="1"/>
  <c r="AA228" i="1"/>
  <c r="AA192" i="1"/>
  <c r="AA144" i="1"/>
  <c r="AA108" i="1"/>
  <c r="AA72" i="1"/>
  <c r="AA36" i="1"/>
  <c r="AA3" i="1"/>
  <c r="AA215" i="1"/>
  <c r="AA179" i="1"/>
  <c r="AA143" i="1"/>
  <c r="AA107" i="1"/>
  <c r="AA71" i="1"/>
  <c r="AA47" i="1"/>
  <c r="AA35" i="1"/>
  <c r="AA238" i="1"/>
  <c r="AA190" i="1"/>
  <c r="AA142" i="1"/>
  <c r="AA106" i="1"/>
  <c r="AA34" i="1"/>
  <c r="AA249" i="1"/>
  <c r="AA201" i="1"/>
  <c r="AA153" i="1"/>
  <c r="AA129" i="1"/>
  <c r="AA93" i="1"/>
  <c r="AA57" i="1"/>
  <c r="AA33" i="1"/>
  <c r="AA248" i="1"/>
  <c r="AA212" i="1"/>
  <c r="AA164" i="1"/>
  <c r="AA128" i="1"/>
  <c r="AA92" i="1"/>
  <c r="AA56" i="1"/>
  <c r="AA8" i="1"/>
  <c r="AA223" i="1"/>
  <c r="AA199" i="1"/>
  <c r="AA151" i="1"/>
  <c r="AA127" i="1"/>
  <c r="AA103" i="1"/>
  <c r="AA79" i="1"/>
  <c r="AA67" i="1"/>
  <c r="AA43" i="1"/>
  <c r="AA7" i="1"/>
  <c r="AA246" i="1"/>
  <c r="AA234" i="1"/>
  <c r="AA222" i="1"/>
  <c r="AA210" i="1"/>
  <c r="AA198" i="1"/>
  <c r="AA186" i="1"/>
  <c r="AA174" i="1"/>
  <c r="AA162" i="1"/>
  <c r="AA150" i="1"/>
  <c r="AA138" i="1"/>
  <c r="AA126" i="1"/>
  <c r="AA114" i="1"/>
  <c r="AA102" i="1"/>
  <c r="AA90" i="1"/>
  <c r="AA78" i="1"/>
  <c r="AA66" i="1"/>
  <c r="AA54" i="1"/>
  <c r="AA42" i="1"/>
  <c r="AA30" i="1"/>
  <c r="AA18" i="1"/>
  <c r="AA6" i="1"/>
  <c r="AA229" i="1"/>
  <c r="AA205" i="1"/>
  <c r="AA157" i="1"/>
  <c r="AA121" i="1"/>
  <c r="AA73" i="1"/>
  <c r="AA13" i="1"/>
  <c r="AA240" i="1"/>
  <c r="AA216" i="1"/>
  <c r="AA180" i="1"/>
  <c r="AA156" i="1"/>
  <c r="AA120" i="1"/>
  <c r="AA96" i="1"/>
  <c r="AA60" i="1"/>
  <c r="AA24" i="1"/>
  <c r="AA239" i="1"/>
  <c r="AA227" i="1"/>
  <c r="AA191" i="1"/>
  <c r="AA167" i="1"/>
  <c r="AA119" i="1"/>
  <c r="AA83" i="1"/>
  <c r="AA11" i="1"/>
  <c r="AA250" i="1"/>
  <c r="AA214" i="1"/>
  <c r="AA202" i="1"/>
  <c r="AA166" i="1"/>
  <c r="AA154" i="1"/>
  <c r="AA118" i="1"/>
  <c r="AA94" i="1"/>
  <c r="AA70" i="1"/>
  <c r="AA58" i="1"/>
  <c r="AA46" i="1"/>
  <c r="AA10" i="1"/>
  <c r="AA225" i="1"/>
  <c r="AA189" i="1"/>
  <c r="AA141" i="1"/>
  <c r="AA117" i="1"/>
  <c r="AA81" i="1"/>
  <c r="AA45" i="1"/>
  <c r="AA9" i="1"/>
  <c r="AA236" i="1"/>
  <c r="AA200" i="1"/>
  <c r="AA176" i="1"/>
  <c r="AA140" i="1"/>
  <c r="AA104" i="1"/>
  <c r="AA68" i="1"/>
  <c r="AA20" i="1"/>
  <c r="AA235" i="1"/>
  <c r="AA175" i="1"/>
  <c r="AA31" i="1"/>
  <c r="AA245" i="1"/>
  <c r="AA233" i="1"/>
  <c r="AA221" i="1"/>
  <c r="AA209" i="1"/>
  <c r="AA197" i="1"/>
  <c r="AA185" i="1"/>
  <c r="AA173" i="1"/>
  <c r="AA161" i="1"/>
  <c r="AA149" i="1"/>
  <c r="AA137" i="1"/>
  <c r="AA125" i="1"/>
  <c r="AA113" i="1"/>
  <c r="AA101" i="1"/>
  <c r="AA89" i="1"/>
  <c r="AA77" i="1"/>
  <c r="AA65" i="1"/>
  <c r="AA53" i="1"/>
  <c r="AA41" i="1"/>
  <c r="AA29" i="1"/>
  <c r="AA17" i="1"/>
  <c r="AA5" i="1"/>
  <c r="AA123" i="1"/>
  <c r="AA87" i="1"/>
  <c r="AA51" i="1"/>
  <c r="AA39" i="1"/>
  <c r="AA242" i="1"/>
  <c r="AA218" i="1"/>
  <c r="AA194" i="1"/>
  <c r="AA170" i="1"/>
  <c r="AA134" i="1"/>
  <c r="AA110" i="1"/>
  <c r="AA86" i="1"/>
  <c r="AA62" i="1"/>
  <c r="AA50" i="1"/>
  <c r="AA14" i="1"/>
  <c r="AA217" i="1"/>
  <c r="AA169" i="1"/>
  <c r="AA133" i="1"/>
  <c r="AA97" i="1"/>
  <c r="AA85" i="1"/>
  <c r="AA49" i="1"/>
  <c r="AA37" i="1"/>
  <c r="AA204" i="1"/>
  <c r="AA168" i="1"/>
  <c r="AA132" i="1"/>
  <c r="AA84" i="1"/>
  <c r="AA48" i="1"/>
  <c r="AA12" i="1"/>
  <c r="AA203" i="1"/>
  <c r="AA155" i="1"/>
  <c r="AA131" i="1"/>
  <c r="AA95" i="1"/>
  <c r="AA59" i="1"/>
  <c r="AA23" i="1"/>
  <c r="AA226" i="1"/>
  <c r="AA178" i="1"/>
  <c r="AA130" i="1"/>
  <c r="AA82" i="1"/>
  <c r="AA22" i="1"/>
  <c r="AA237" i="1"/>
  <c r="AA213" i="1"/>
  <c r="AA177" i="1"/>
  <c r="AA165" i="1"/>
  <c r="AA105" i="1"/>
  <c r="AA69" i="1"/>
  <c r="AA21" i="1"/>
  <c r="AA224" i="1"/>
  <c r="AA188" i="1"/>
  <c r="AA152" i="1"/>
  <c r="AA116" i="1"/>
  <c r="AA80" i="1"/>
  <c r="AA44" i="1"/>
  <c r="AA32" i="1"/>
  <c r="AA247" i="1"/>
  <c r="AA211" i="1"/>
  <c r="AA187" i="1"/>
  <c r="AA163" i="1"/>
  <c r="AA139" i="1"/>
  <c r="AA115" i="1"/>
  <c r="AA91" i="1"/>
  <c r="AA55" i="1"/>
  <c r="AA19" i="1"/>
  <c r="AA244" i="1"/>
  <c r="AA232" i="1"/>
  <c r="AA220" i="1"/>
  <c r="AA208" i="1"/>
  <c r="AA196" i="1"/>
  <c r="AA184" i="1"/>
  <c r="AA172" i="1"/>
  <c r="AA160" i="1"/>
  <c r="AA148" i="1"/>
  <c r="AA136" i="1"/>
  <c r="AA124" i="1"/>
  <c r="AA112" i="1"/>
  <c r="AA100" i="1"/>
  <c r="AA88" i="1"/>
  <c r="AA76" i="1"/>
  <c r="AA64" i="1"/>
  <c r="AA52" i="1"/>
  <c r="AA40" i="1"/>
  <c r="AA28" i="1"/>
  <c r="AA16" i="1"/>
</calcChain>
</file>

<file path=xl/sharedStrings.xml><?xml version="1.0" encoding="utf-8"?>
<sst xmlns="http://schemas.openxmlformats.org/spreadsheetml/2006/main" count="24" uniqueCount="21">
  <si>
    <t>Date</t>
  </si>
  <si>
    <t>ADANI POWER</t>
  </si>
  <si>
    <t>AP Open</t>
  </si>
  <si>
    <t>AP HIGH</t>
  </si>
  <si>
    <t>AP Low</t>
  </si>
  <si>
    <t>AP Close</t>
  </si>
  <si>
    <t>AP Adj Close</t>
  </si>
  <si>
    <t>AP Volume</t>
  </si>
  <si>
    <t>HMC Open</t>
  </si>
  <si>
    <t>HMC High</t>
  </si>
  <si>
    <t>HMC Low</t>
  </si>
  <si>
    <t>HMC Close</t>
  </si>
  <si>
    <t>HMC Adj Close</t>
  </si>
  <si>
    <t>HMC Volume</t>
  </si>
  <si>
    <t xml:space="preserve">DROP DOWN FOR VISIBILITY </t>
  </si>
  <si>
    <t>TICKER VALUE</t>
  </si>
  <si>
    <t>52 week high AP</t>
  </si>
  <si>
    <t>52 week low AP</t>
  </si>
  <si>
    <t>52 week high HMC</t>
  </si>
  <si>
    <t>52 week low HMC</t>
  </si>
  <si>
    <t>HERO MOTOR 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</si>
</sst>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14" fontId="0" fillId="36" borderId="10" xfId="0" applyNumberFormat="1" applyFill="1" applyBorder="1"/>
    <xf numFmtId="0" fontId="0" fillId="36" borderId="10" xfId="0" applyFill="1" applyBorder="1"/>
    <xf numFmtId="0" fontId="16" fillId="36" borderId="10" xfId="0" applyFont="1" applyFill="1" applyBorder="1"/>
    <xf numFmtId="0" fontId="0" fillId="0" borderId="0" xfId="0" applyBorder="1"/>
    <xf numFmtId="0" fontId="0" fillId="37" borderId="0" xfId="0" applyFill="1" applyBorder="1"/>
    <xf numFmtId="0" fontId="0" fillId="38" borderId="0" xfId="0" applyFill="1" applyBorder="1"/>
    <xf numFmtId="0" fontId="0" fillId="39" borderId="0" xfId="0" applyFill="1"/>
    <xf numFmtId="0" fontId="0" fillId="4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HERO</a:t>
            </a:r>
            <a:r>
              <a:rPr lang="en-IN" baseline="0"/>
              <a:t> MOTOR CO.</a:t>
            </a:r>
            <a:r>
              <a:rPr lang="en-IN"/>
              <a:t> VS ADANI</a:t>
            </a:r>
            <a:r>
              <a:rPr lang="en-IN" baseline="0"/>
              <a:t> POWER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2306834490516271E-2"/>
          <c:y val="0.12615646258503402"/>
          <c:w val="0.88064094358894796"/>
          <c:h val="0.62708366811291449"/>
        </c:manualLayout>
      </c:layout>
      <c:lineChart>
        <c:grouping val="standard"/>
        <c:varyColors val="0"/>
        <c:ser>
          <c:idx val="0"/>
          <c:order val="0"/>
          <c:tx>
            <c:strRef>
              <c:f>ADANIPOWER.Xlsx!$AA$1</c:f>
              <c:strCache>
                <c:ptCount val="1"/>
                <c:pt idx="0">
                  <c:v>HMC 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ADANIPOWER.Xlsx!$Z$2:$Z$250</c:f>
              <c:numCache>
                <c:formatCode>m/d/yyyy</c:formatCode>
                <c:ptCount val="249"/>
                <c:pt idx="0">
                  <c:v>44620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44627</c:v>
                </c:pt>
                <c:pt idx="5">
                  <c:v>44628</c:v>
                </c:pt>
                <c:pt idx="6">
                  <c:v>44629</c:v>
                </c:pt>
                <c:pt idx="7">
                  <c:v>44630</c:v>
                </c:pt>
                <c:pt idx="8">
                  <c:v>44631</c:v>
                </c:pt>
                <c:pt idx="9">
                  <c:v>44634</c:v>
                </c:pt>
                <c:pt idx="10">
                  <c:v>44635</c:v>
                </c:pt>
                <c:pt idx="11">
                  <c:v>44636</c:v>
                </c:pt>
                <c:pt idx="12">
                  <c:v>44637</c:v>
                </c:pt>
                <c:pt idx="13">
                  <c:v>44641</c:v>
                </c:pt>
                <c:pt idx="14">
                  <c:v>44642</c:v>
                </c:pt>
                <c:pt idx="15">
                  <c:v>44643</c:v>
                </c:pt>
                <c:pt idx="16">
                  <c:v>44644</c:v>
                </c:pt>
                <c:pt idx="17">
                  <c:v>44645</c:v>
                </c:pt>
                <c:pt idx="18">
                  <c:v>44648</c:v>
                </c:pt>
                <c:pt idx="19">
                  <c:v>44649</c:v>
                </c:pt>
                <c:pt idx="20">
                  <c:v>44650</c:v>
                </c:pt>
                <c:pt idx="21">
                  <c:v>44651</c:v>
                </c:pt>
                <c:pt idx="22">
                  <c:v>44652</c:v>
                </c:pt>
                <c:pt idx="23">
                  <c:v>44655</c:v>
                </c:pt>
                <c:pt idx="24">
                  <c:v>44656</c:v>
                </c:pt>
                <c:pt idx="25">
                  <c:v>44657</c:v>
                </c:pt>
                <c:pt idx="26">
                  <c:v>44658</c:v>
                </c:pt>
                <c:pt idx="27">
                  <c:v>44659</c:v>
                </c:pt>
                <c:pt idx="28">
                  <c:v>44662</c:v>
                </c:pt>
                <c:pt idx="29">
                  <c:v>44663</c:v>
                </c:pt>
                <c:pt idx="30">
                  <c:v>44664</c:v>
                </c:pt>
                <c:pt idx="31">
                  <c:v>44669</c:v>
                </c:pt>
                <c:pt idx="32">
                  <c:v>44670</c:v>
                </c:pt>
                <c:pt idx="33">
                  <c:v>44671</c:v>
                </c:pt>
                <c:pt idx="34">
                  <c:v>44672</c:v>
                </c:pt>
                <c:pt idx="35">
                  <c:v>44673</c:v>
                </c:pt>
                <c:pt idx="36">
                  <c:v>44676</c:v>
                </c:pt>
                <c:pt idx="37">
                  <c:v>44677</c:v>
                </c:pt>
                <c:pt idx="38">
                  <c:v>44678</c:v>
                </c:pt>
                <c:pt idx="39">
                  <c:v>44679</c:v>
                </c:pt>
                <c:pt idx="40">
                  <c:v>44680</c:v>
                </c:pt>
                <c:pt idx="41">
                  <c:v>44683</c:v>
                </c:pt>
                <c:pt idx="42">
                  <c:v>44685</c:v>
                </c:pt>
                <c:pt idx="43">
                  <c:v>44686</c:v>
                </c:pt>
                <c:pt idx="44">
                  <c:v>44687</c:v>
                </c:pt>
                <c:pt idx="45">
                  <c:v>44690</c:v>
                </c:pt>
                <c:pt idx="46">
                  <c:v>44691</c:v>
                </c:pt>
                <c:pt idx="47">
                  <c:v>44692</c:v>
                </c:pt>
                <c:pt idx="48">
                  <c:v>44693</c:v>
                </c:pt>
                <c:pt idx="49">
                  <c:v>44694</c:v>
                </c:pt>
                <c:pt idx="50">
                  <c:v>44697</c:v>
                </c:pt>
                <c:pt idx="51">
                  <c:v>44698</c:v>
                </c:pt>
                <c:pt idx="52">
                  <c:v>44699</c:v>
                </c:pt>
                <c:pt idx="53">
                  <c:v>44700</c:v>
                </c:pt>
                <c:pt idx="54">
                  <c:v>44701</c:v>
                </c:pt>
                <c:pt idx="55">
                  <c:v>44704</c:v>
                </c:pt>
                <c:pt idx="56">
                  <c:v>44705</c:v>
                </c:pt>
                <c:pt idx="57">
                  <c:v>44706</c:v>
                </c:pt>
                <c:pt idx="58">
                  <c:v>44707</c:v>
                </c:pt>
                <c:pt idx="59">
                  <c:v>44708</c:v>
                </c:pt>
                <c:pt idx="60">
                  <c:v>44711</c:v>
                </c:pt>
                <c:pt idx="61">
                  <c:v>44712</c:v>
                </c:pt>
                <c:pt idx="62">
                  <c:v>44713</c:v>
                </c:pt>
                <c:pt idx="63">
                  <c:v>44714</c:v>
                </c:pt>
                <c:pt idx="64">
                  <c:v>44715</c:v>
                </c:pt>
                <c:pt idx="65">
                  <c:v>44718</c:v>
                </c:pt>
                <c:pt idx="66">
                  <c:v>44719</c:v>
                </c:pt>
                <c:pt idx="67">
                  <c:v>44720</c:v>
                </c:pt>
                <c:pt idx="68">
                  <c:v>44721</c:v>
                </c:pt>
                <c:pt idx="69">
                  <c:v>44722</c:v>
                </c:pt>
                <c:pt idx="70">
                  <c:v>44725</c:v>
                </c:pt>
                <c:pt idx="71">
                  <c:v>44726</c:v>
                </c:pt>
                <c:pt idx="72">
                  <c:v>44727</c:v>
                </c:pt>
                <c:pt idx="73">
                  <c:v>44728</c:v>
                </c:pt>
                <c:pt idx="74">
                  <c:v>44729</c:v>
                </c:pt>
                <c:pt idx="75">
                  <c:v>44732</c:v>
                </c:pt>
                <c:pt idx="76">
                  <c:v>44733</c:v>
                </c:pt>
                <c:pt idx="77">
                  <c:v>44734</c:v>
                </c:pt>
                <c:pt idx="78">
                  <c:v>44735</c:v>
                </c:pt>
                <c:pt idx="79">
                  <c:v>44736</c:v>
                </c:pt>
                <c:pt idx="80">
                  <c:v>44739</c:v>
                </c:pt>
                <c:pt idx="81">
                  <c:v>44740</c:v>
                </c:pt>
                <c:pt idx="82">
                  <c:v>44741</c:v>
                </c:pt>
                <c:pt idx="83">
                  <c:v>44742</c:v>
                </c:pt>
                <c:pt idx="84">
                  <c:v>44743</c:v>
                </c:pt>
                <c:pt idx="85">
                  <c:v>44746</c:v>
                </c:pt>
                <c:pt idx="86">
                  <c:v>44747</c:v>
                </c:pt>
                <c:pt idx="87">
                  <c:v>44748</c:v>
                </c:pt>
                <c:pt idx="88">
                  <c:v>44749</c:v>
                </c:pt>
                <c:pt idx="89">
                  <c:v>44750</c:v>
                </c:pt>
                <c:pt idx="90">
                  <c:v>44753</c:v>
                </c:pt>
                <c:pt idx="91">
                  <c:v>44754</c:v>
                </c:pt>
                <c:pt idx="92">
                  <c:v>44755</c:v>
                </c:pt>
                <c:pt idx="93">
                  <c:v>44756</c:v>
                </c:pt>
                <c:pt idx="94">
                  <c:v>44757</c:v>
                </c:pt>
                <c:pt idx="95">
                  <c:v>44760</c:v>
                </c:pt>
                <c:pt idx="96">
                  <c:v>44761</c:v>
                </c:pt>
                <c:pt idx="97">
                  <c:v>44762</c:v>
                </c:pt>
                <c:pt idx="98">
                  <c:v>44763</c:v>
                </c:pt>
                <c:pt idx="99">
                  <c:v>44764</c:v>
                </c:pt>
                <c:pt idx="100">
                  <c:v>44767</c:v>
                </c:pt>
                <c:pt idx="101">
                  <c:v>44768</c:v>
                </c:pt>
                <c:pt idx="102">
                  <c:v>44769</c:v>
                </c:pt>
                <c:pt idx="103">
                  <c:v>44770</c:v>
                </c:pt>
                <c:pt idx="104">
                  <c:v>44771</c:v>
                </c:pt>
                <c:pt idx="105">
                  <c:v>44774</c:v>
                </c:pt>
                <c:pt idx="106">
                  <c:v>44775</c:v>
                </c:pt>
                <c:pt idx="107">
                  <c:v>44776</c:v>
                </c:pt>
                <c:pt idx="108">
                  <c:v>44777</c:v>
                </c:pt>
                <c:pt idx="109">
                  <c:v>44778</c:v>
                </c:pt>
                <c:pt idx="110">
                  <c:v>44781</c:v>
                </c:pt>
                <c:pt idx="111">
                  <c:v>44783</c:v>
                </c:pt>
                <c:pt idx="112">
                  <c:v>44784</c:v>
                </c:pt>
                <c:pt idx="113">
                  <c:v>44785</c:v>
                </c:pt>
                <c:pt idx="114">
                  <c:v>44789</c:v>
                </c:pt>
                <c:pt idx="115">
                  <c:v>44790</c:v>
                </c:pt>
                <c:pt idx="116">
                  <c:v>44791</c:v>
                </c:pt>
                <c:pt idx="117">
                  <c:v>44792</c:v>
                </c:pt>
                <c:pt idx="118">
                  <c:v>44795</c:v>
                </c:pt>
                <c:pt idx="119">
                  <c:v>44796</c:v>
                </c:pt>
                <c:pt idx="120">
                  <c:v>44797</c:v>
                </c:pt>
                <c:pt idx="121">
                  <c:v>44798</c:v>
                </c:pt>
                <c:pt idx="122">
                  <c:v>44799</c:v>
                </c:pt>
                <c:pt idx="123">
                  <c:v>44802</c:v>
                </c:pt>
                <c:pt idx="124">
                  <c:v>44803</c:v>
                </c:pt>
                <c:pt idx="125">
                  <c:v>44805</c:v>
                </c:pt>
                <c:pt idx="126">
                  <c:v>44806</c:v>
                </c:pt>
                <c:pt idx="127">
                  <c:v>44809</c:v>
                </c:pt>
                <c:pt idx="128">
                  <c:v>44810</c:v>
                </c:pt>
                <c:pt idx="129">
                  <c:v>44811</c:v>
                </c:pt>
                <c:pt idx="130">
                  <c:v>44812</c:v>
                </c:pt>
                <c:pt idx="131">
                  <c:v>44813</c:v>
                </c:pt>
                <c:pt idx="132">
                  <c:v>44816</c:v>
                </c:pt>
                <c:pt idx="133">
                  <c:v>44817</c:v>
                </c:pt>
                <c:pt idx="134">
                  <c:v>44818</c:v>
                </c:pt>
                <c:pt idx="135">
                  <c:v>44819</c:v>
                </c:pt>
                <c:pt idx="136">
                  <c:v>44820</c:v>
                </c:pt>
                <c:pt idx="137">
                  <c:v>44823</c:v>
                </c:pt>
                <c:pt idx="138">
                  <c:v>44824</c:v>
                </c:pt>
                <c:pt idx="139">
                  <c:v>44825</c:v>
                </c:pt>
                <c:pt idx="140">
                  <c:v>44826</c:v>
                </c:pt>
                <c:pt idx="141">
                  <c:v>44827</c:v>
                </c:pt>
                <c:pt idx="142">
                  <c:v>44830</c:v>
                </c:pt>
                <c:pt idx="143">
                  <c:v>44831</c:v>
                </c:pt>
                <c:pt idx="144">
                  <c:v>44832</c:v>
                </c:pt>
                <c:pt idx="145">
                  <c:v>44833</c:v>
                </c:pt>
                <c:pt idx="146">
                  <c:v>44834</c:v>
                </c:pt>
                <c:pt idx="147">
                  <c:v>44837</c:v>
                </c:pt>
                <c:pt idx="148">
                  <c:v>44838</c:v>
                </c:pt>
                <c:pt idx="149">
                  <c:v>44840</c:v>
                </c:pt>
                <c:pt idx="150">
                  <c:v>44841</c:v>
                </c:pt>
                <c:pt idx="151">
                  <c:v>44844</c:v>
                </c:pt>
                <c:pt idx="152">
                  <c:v>44845</c:v>
                </c:pt>
                <c:pt idx="153">
                  <c:v>44846</c:v>
                </c:pt>
                <c:pt idx="154">
                  <c:v>44847</c:v>
                </c:pt>
                <c:pt idx="155">
                  <c:v>44848</c:v>
                </c:pt>
                <c:pt idx="156">
                  <c:v>44851</c:v>
                </c:pt>
                <c:pt idx="157">
                  <c:v>44852</c:v>
                </c:pt>
                <c:pt idx="158">
                  <c:v>44853</c:v>
                </c:pt>
                <c:pt idx="159">
                  <c:v>44854</c:v>
                </c:pt>
                <c:pt idx="160">
                  <c:v>44855</c:v>
                </c:pt>
                <c:pt idx="161">
                  <c:v>44858</c:v>
                </c:pt>
                <c:pt idx="162">
                  <c:v>44859</c:v>
                </c:pt>
                <c:pt idx="163">
                  <c:v>44861</c:v>
                </c:pt>
                <c:pt idx="164">
                  <c:v>44862</c:v>
                </c:pt>
                <c:pt idx="165">
                  <c:v>44865</c:v>
                </c:pt>
                <c:pt idx="166">
                  <c:v>44866</c:v>
                </c:pt>
                <c:pt idx="167">
                  <c:v>44867</c:v>
                </c:pt>
                <c:pt idx="168">
                  <c:v>44868</c:v>
                </c:pt>
                <c:pt idx="169">
                  <c:v>44869</c:v>
                </c:pt>
                <c:pt idx="170">
                  <c:v>44872</c:v>
                </c:pt>
                <c:pt idx="171">
                  <c:v>44874</c:v>
                </c:pt>
                <c:pt idx="172">
                  <c:v>44875</c:v>
                </c:pt>
                <c:pt idx="173">
                  <c:v>44876</c:v>
                </c:pt>
                <c:pt idx="174">
                  <c:v>44879</c:v>
                </c:pt>
                <c:pt idx="175">
                  <c:v>44880</c:v>
                </c:pt>
                <c:pt idx="176">
                  <c:v>44881</c:v>
                </c:pt>
                <c:pt idx="177">
                  <c:v>44882</c:v>
                </c:pt>
                <c:pt idx="178">
                  <c:v>44883</c:v>
                </c:pt>
                <c:pt idx="179">
                  <c:v>44886</c:v>
                </c:pt>
                <c:pt idx="180">
                  <c:v>44887</c:v>
                </c:pt>
                <c:pt idx="181">
                  <c:v>44888</c:v>
                </c:pt>
                <c:pt idx="182">
                  <c:v>44889</c:v>
                </c:pt>
                <c:pt idx="183">
                  <c:v>44890</c:v>
                </c:pt>
                <c:pt idx="184">
                  <c:v>44893</c:v>
                </c:pt>
                <c:pt idx="185">
                  <c:v>44894</c:v>
                </c:pt>
                <c:pt idx="186">
                  <c:v>44895</c:v>
                </c:pt>
                <c:pt idx="187">
                  <c:v>44896</c:v>
                </c:pt>
                <c:pt idx="188">
                  <c:v>44897</c:v>
                </c:pt>
                <c:pt idx="189">
                  <c:v>44900</c:v>
                </c:pt>
                <c:pt idx="190">
                  <c:v>44901</c:v>
                </c:pt>
                <c:pt idx="191">
                  <c:v>44902</c:v>
                </c:pt>
                <c:pt idx="192">
                  <c:v>44903</c:v>
                </c:pt>
                <c:pt idx="193">
                  <c:v>44904</c:v>
                </c:pt>
                <c:pt idx="194">
                  <c:v>44907</c:v>
                </c:pt>
                <c:pt idx="195">
                  <c:v>44908</c:v>
                </c:pt>
                <c:pt idx="196">
                  <c:v>44909</c:v>
                </c:pt>
                <c:pt idx="197">
                  <c:v>44910</c:v>
                </c:pt>
                <c:pt idx="198">
                  <c:v>44911</c:v>
                </c:pt>
                <c:pt idx="199">
                  <c:v>44914</c:v>
                </c:pt>
                <c:pt idx="200">
                  <c:v>44915</c:v>
                </c:pt>
                <c:pt idx="201">
                  <c:v>44916</c:v>
                </c:pt>
                <c:pt idx="202">
                  <c:v>44917</c:v>
                </c:pt>
                <c:pt idx="203">
                  <c:v>44918</c:v>
                </c:pt>
                <c:pt idx="204">
                  <c:v>44921</c:v>
                </c:pt>
                <c:pt idx="205">
                  <c:v>44922</c:v>
                </c:pt>
                <c:pt idx="206">
                  <c:v>44923</c:v>
                </c:pt>
                <c:pt idx="207">
                  <c:v>44924</c:v>
                </c:pt>
                <c:pt idx="208">
                  <c:v>44925</c:v>
                </c:pt>
                <c:pt idx="209">
                  <c:v>44928</c:v>
                </c:pt>
                <c:pt idx="210">
                  <c:v>44929</c:v>
                </c:pt>
                <c:pt idx="211">
                  <c:v>44930</c:v>
                </c:pt>
                <c:pt idx="212">
                  <c:v>44931</c:v>
                </c:pt>
                <c:pt idx="213">
                  <c:v>44932</c:v>
                </c:pt>
                <c:pt idx="214">
                  <c:v>44935</c:v>
                </c:pt>
                <c:pt idx="215">
                  <c:v>44936</c:v>
                </c:pt>
                <c:pt idx="216">
                  <c:v>44937</c:v>
                </c:pt>
                <c:pt idx="217">
                  <c:v>44938</c:v>
                </c:pt>
                <c:pt idx="218">
                  <c:v>44939</c:v>
                </c:pt>
                <c:pt idx="219">
                  <c:v>44942</c:v>
                </c:pt>
                <c:pt idx="220">
                  <c:v>44943</c:v>
                </c:pt>
                <c:pt idx="221">
                  <c:v>44944</c:v>
                </c:pt>
                <c:pt idx="222">
                  <c:v>44945</c:v>
                </c:pt>
                <c:pt idx="223">
                  <c:v>44946</c:v>
                </c:pt>
                <c:pt idx="224">
                  <c:v>44949</c:v>
                </c:pt>
                <c:pt idx="225">
                  <c:v>44950</c:v>
                </c:pt>
                <c:pt idx="226">
                  <c:v>44951</c:v>
                </c:pt>
                <c:pt idx="227">
                  <c:v>44953</c:v>
                </c:pt>
                <c:pt idx="228">
                  <c:v>44956</c:v>
                </c:pt>
                <c:pt idx="229">
                  <c:v>44957</c:v>
                </c:pt>
                <c:pt idx="230">
                  <c:v>44958</c:v>
                </c:pt>
                <c:pt idx="231">
                  <c:v>44959</c:v>
                </c:pt>
                <c:pt idx="232">
                  <c:v>44960</c:v>
                </c:pt>
                <c:pt idx="233">
                  <c:v>44963</c:v>
                </c:pt>
                <c:pt idx="234">
                  <c:v>44964</c:v>
                </c:pt>
                <c:pt idx="235">
                  <c:v>44965</c:v>
                </c:pt>
                <c:pt idx="236">
                  <c:v>44966</c:v>
                </c:pt>
                <c:pt idx="237">
                  <c:v>44967</c:v>
                </c:pt>
                <c:pt idx="238">
                  <c:v>44970</c:v>
                </c:pt>
                <c:pt idx="239">
                  <c:v>44971</c:v>
                </c:pt>
                <c:pt idx="240">
                  <c:v>44972</c:v>
                </c:pt>
                <c:pt idx="241">
                  <c:v>44973</c:v>
                </c:pt>
                <c:pt idx="242">
                  <c:v>44974</c:v>
                </c:pt>
                <c:pt idx="243">
                  <c:v>44977</c:v>
                </c:pt>
                <c:pt idx="244">
                  <c:v>44978</c:v>
                </c:pt>
                <c:pt idx="245">
                  <c:v>44979</c:v>
                </c:pt>
                <c:pt idx="246">
                  <c:v>44980</c:v>
                </c:pt>
                <c:pt idx="247">
                  <c:v>44981</c:v>
                </c:pt>
                <c:pt idx="248">
                  <c:v>44984</c:v>
                </c:pt>
              </c:numCache>
            </c:numRef>
          </c:cat>
          <c:val>
            <c:numRef>
              <c:f>ADANIPOWER.Xlsx!$AA$2:$AA$250</c:f>
              <c:numCache>
                <c:formatCode>General</c:formatCode>
                <c:ptCount val="249"/>
                <c:pt idx="0">
                  <c:v>2535.4499510000001</c:v>
                </c:pt>
                <c:pt idx="1">
                  <c:v>2426.3000489999999</c:v>
                </c:pt>
                <c:pt idx="2">
                  <c:v>2417.3999020000001</c:v>
                </c:pt>
                <c:pt idx="3">
                  <c:v>2311.3000489999999</c:v>
                </c:pt>
                <c:pt idx="4">
                  <c:v>2198.6999510000001</c:v>
                </c:pt>
                <c:pt idx="5">
                  <c:v>2251.6499020000001</c:v>
                </c:pt>
                <c:pt idx="6">
                  <c:v>2290.5</c:v>
                </c:pt>
                <c:pt idx="7">
                  <c:v>2320.75</c:v>
                </c:pt>
                <c:pt idx="8">
                  <c:v>2331.1999510000001</c:v>
                </c:pt>
                <c:pt idx="9">
                  <c:v>2341.8999020000001</c:v>
                </c:pt>
                <c:pt idx="10">
                  <c:v>2318.3999020000001</c:v>
                </c:pt>
                <c:pt idx="11">
                  <c:v>2369.5</c:v>
                </c:pt>
                <c:pt idx="12">
                  <c:v>2419.8999020000001</c:v>
                </c:pt>
                <c:pt idx="13">
                  <c:v>2391.5500489999999</c:v>
                </c:pt>
                <c:pt idx="14">
                  <c:v>2423.6499020000001</c:v>
                </c:pt>
                <c:pt idx="15">
                  <c:v>2394.6499020000001</c:v>
                </c:pt>
                <c:pt idx="16">
                  <c:v>2412.1499020000001</c:v>
                </c:pt>
                <c:pt idx="17">
                  <c:v>2378.3999020000001</c:v>
                </c:pt>
                <c:pt idx="18">
                  <c:v>2377.9499510000001</c:v>
                </c:pt>
                <c:pt idx="19">
                  <c:v>2210.6499020000001</c:v>
                </c:pt>
                <c:pt idx="20">
                  <c:v>2271.6499020000001</c:v>
                </c:pt>
                <c:pt idx="21">
                  <c:v>2294.1499020000001</c:v>
                </c:pt>
                <c:pt idx="22">
                  <c:v>2240.1499020000001</c:v>
                </c:pt>
                <c:pt idx="23">
                  <c:v>2311.75</c:v>
                </c:pt>
                <c:pt idx="24">
                  <c:v>2332.25</c:v>
                </c:pt>
                <c:pt idx="25">
                  <c:v>2346.8999020000001</c:v>
                </c:pt>
                <c:pt idx="26">
                  <c:v>2350.6000979999999</c:v>
                </c:pt>
                <c:pt idx="27">
                  <c:v>2362.4499510000001</c:v>
                </c:pt>
                <c:pt idx="28">
                  <c:v>2335.3999020000001</c:v>
                </c:pt>
                <c:pt idx="29">
                  <c:v>2297.8999020000001</c:v>
                </c:pt>
                <c:pt idx="30">
                  <c:v>2274.3999020000001</c:v>
                </c:pt>
                <c:pt idx="31">
                  <c:v>2285.3999020000001</c:v>
                </c:pt>
                <c:pt idx="32">
                  <c:v>2263.25</c:v>
                </c:pt>
                <c:pt idx="33">
                  <c:v>2274.8500979999999</c:v>
                </c:pt>
                <c:pt idx="34">
                  <c:v>2317.6499020000001</c:v>
                </c:pt>
                <c:pt idx="35">
                  <c:v>2294.25</c:v>
                </c:pt>
                <c:pt idx="36">
                  <c:v>2288.6000979999999</c:v>
                </c:pt>
                <c:pt idx="37">
                  <c:v>2407.25</c:v>
                </c:pt>
                <c:pt idx="38">
                  <c:v>2500</c:v>
                </c:pt>
                <c:pt idx="39">
                  <c:v>2517.3000489999999</c:v>
                </c:pt>
                <c:pt idx="40">
                  <c:v>2506.6499020000001</c:v>
                </c:pt>
                <c:pt idx="41">
                  <c:v>2487.3000489999999</c:v>
                </c:pt>
                <c:pt idx="42">
                  <c:v>2409.5</c:v>
                </c:pt>
                <c:pt idx="43">
                  <c:v>2501.6499020000001</c:v>
                </c:pt>
                <c:pt idx="44">
                  <c:v>2563.3500979999999</c:v>
                </c:pt>
                <c:pt idx="45">
                  <c:v>2492.75</c:v>
                </c:pt>
                <c:pt idx="46">
                  <c:v>2469.75</c:v>
                </c:pt>
                <c:pt idx="47">
                  <c:v>2470.3000489999999</c:v>
                </c:pt>
                <c:pt idx="48">
                  <c:v>2401.1999510000001</c:v>
                </c:pt>
                <c:pt idx="49">
                  <c:v>2449.1499020000001</c:v>
                </c:pt>
                <c:pt idx="50">
                  <c:v>2495.8999020000001</c:v>
                </c:pt>
                <c:pt idx="51">
                  <c:v>2523.5</c:v>
                </c:pt>
                <c:pt idx="52">
                  <c:v>2539</c:v>
                </c:pt>
                <c:pt idx="53">
                  <c:v>2515.5</c:v>
                </c:pt>
                <c:pt idx="54">
                  <c:v>2590.1499020000001</c:v>
                </c:pt>
                <c:pt idx="55">
                  <c:v>2624.6999510000001</c:v>
                </c:pt>
                <c:pt idx="56">
                  <c:v>2637</c:v>
                </c:pt>
                <c:pt idx="57">
                  <c:v>2594.6999510000001</c:v>
                </c:pt>
                <c:pt idx="58">
                  <c:v>2636.4499510000001</c:v>
                </c:pt>
                <c:pt idx="59">
                  <c:v>2719.8000489999999</c:v>
                </c:pt>
                <c:pt idx="60">
                  <c:v>2770.5500489999999</c:v>
                </c:pt>
                <c:pt idx="61">
                  <c:v>2773.8999020000001</c:v>
                </c:pt>
                <c:pt idx="62">
                  <c:v>2757.6000979999999</c:v>
                </c:pt>
                <c:pt idx="63">
                  <c:v>2663.1000979999999</c:v>
                </c:pt>
                <c:pt idx="64">
                  <c:v>2583.75</c:v>
                </c:pt>
                <c:pt idx="65">
                  <c:v>2540.75</c:v>
                </c:pt>
                <c:pt idx="66">
                  <c:v>2570.8500979999999</c:v>
                </c:pt>
                <c:pt idx="67">
                  <c:v>2585.9499510000001</c:v>
                </c:pt>
                <c:pt idx="68">
                  <c:v>2598.1000979999999</c:v>
                </c:pt>
                <c:pt idx="69">
                  <c:v>2601.9499510000001</c:v>
                </c:pt>
                <c:pt idx="70">
                  <c:v>2598.8000489999999</c:v>
                </c:pt>
                <c:pt idx="71">
                  <c:v>2557.6000979999999</c:v>
                </c:pt>
                <c:pt idx="72">
                  <c:v>2605.3000489999999</c:v>
                </c:pt>
                <c:pt idx="73">
                  <c:v>2519.0500489999999</c:v>
                </c:pt>
                <c:pt idx="74">
                  <c:v>2467.3999020000001</c:v>
                </c:pt>
                <c:pt idx="75">
                  <c:v>2452.5500489999999</c:v>
                </c:pt>
                <c:pt idx="76">
                  <c:v>2499.1999510000001</c:v>
                </c:pt>
                <c:pt idx="77">
                  <c:v>2524.4499510000001</c:v>
                </c:pt>
                <c:pt idx="78">
                  <c:v>2674.1000979999999</c:v>
                </c:pt>
                <c:pt idx="79">
                  <c:v>2759.9499510000001</c:v>
                </c:pt>
                <c:pt idx="80">
                  <c:v>2755.5</c:v>
                </c:pt>
                <c:pt idx="81">
                  <c:v>2766.6999510000001</c:v>
                </c:pt>
                <c:pt idx="82">
                  <c:v>2752.3999020000001</c:v>
                </c:pt>
                <c:pt idx="83">
                  <c:v>2719.6999510000001</c:v>
                </c:pt>
                <c:pt idx="84">
                  <c:v>2763.8000489999999</c:v>
                </c:pt>
                <c:pt idx="85">
                  <c:v>2760.4499510000001</c:v>
                </c:pt>
                <c:pt idx="86">
                  <c:v>2737.25</c:v>
                </c:pt>
                <c:pt idx="87">
                  <c:v>2831.8000489999999</c:v>
                </c:pt>
                <c:pt idx="88">
                  <c:v>2839.4499510000001</c:v>
                </c:pt>
                <c:pt idx="89">
                  <c:v>2849.3000489999999</c:v>
                </c:pt>
                <c:pt idx="90">
                  <c:v>2868.1000979999999</c:v>
                </c:pt>
                <c:pt idx="91">
                  <c:v>2875.5</c:v>
                </c:pt>
                <c:pt idx="92">
                  <c:v>2843.3500979999999</c:v>
                </c:pt>
                <c:pt idx="93">
                  <c:v>2792.8000489999999</c:v>
                </c:pt>
                <c:pt idx="94">
                  <c:v>2800.0500489999999</c:v>
                </c:pt>
                <c:pt idx="95">
                  <c:v>2817.9499510000001</c:v>
                </c:pt>
                <c:pt idx="96">
                  <c:v>2801.1999510000001</c:v>
                </c:pt>
                <c:pt idx="97">
                  <c:v>2826.75</c:v>
                </c:pt>
                <c:pt idx="98">
                  <c:v>2847.8000489999999</c:v>
                </c:pt>
                <c:pt idx="99">
                  <c:v>2871.6000979999999</c:v>
                </c:pt>
                <c:pt idx="100">
                  <c:v>2838.8500979999999</c:v>
                </c:pt>
                <c:pt idx="101">
                  <c:v>2800.75</c:v>
                </c:pt>
                <c:pt idx="102">
                  <c:v>2782.5500489999999</c:v>
                </c:pt>
                <c:pt idx="103">
                  <c:v>2780.6999510000001</c:v>
                </c:pt>
                <c:pt idx="104">
                  <c:v>2818.0500489999999</c:v>
                </c:pt>
                <c:pt idx="105">
                  <c:v>2840.8000489999999</c:v>
                </c:pt>
                <c:pt idx="106">
                  <c:v>2771.4499510000001</c:v>
                </c:pt>
                <c:pt idx="107">
                  <c:v>2801.8999020000001</c:v>
                </c:pt>
                <c:pt idx="108">
                  <c:v>2807</c:v>
                </c:pt>
                <c:pt idx="109">
                  <c:v>2770.6999510000001</c:v>
                </c:pt>
                <c:pt idx="110">
                  <c:v>2738.0500489999999</c:v>
                </c:pt>
                <c:pt idx="111">
                  <c:v>2775.4499510000001</c:v>
                </c:pt>
                <c:pt idx="112">
                  <c:v>2785.3000489999999</c:v>
                </c:pt>
                <c:pt idx="113">
                  <c:v>2761.8999020000001</c:v>
                </c:pt>
                <c:pt idx="114">
                  <c:v>2817</c:v>
                </c:pt>
                <c:pt idx="115">
                  <c:v>2913.4499510000001</c:v>
                </c:pt>
                <c:pt idx="116">
                  <c:v>2908.1999510000001</c:v>
                </c:pt>
                <c:pt idx="117">
                  <c:v>2838.6499020000001</c:v>
                </c:pt>
                <c:pt idx="118">
                  <c:v>2780.5500489999999</c:v>
                </c:pt>
                <c:pt idx="119">
                  <c:v>2803.3999020000001</c:v>
                </c:pt>
                <c:pt idx="120">
                  <c:v>2806.3500979999999</c:v>
                </c:pt>
                <c:pt idx="121">
                  <c:v>2799.8000489999999</c:v>
                </c:pt>
                <c:pt idx="122">
                  <c:v>2826.75</c:v>
                </c:pt>
                <c:pt idx="123">
                  <c:v>2827.0500489999999</c:v>
                </c:pt>
                <c:pt idx="124">
                  <c:v>2837.6999510000001</c:v>
                </c:pt>
                <c:pt idx="125">
                  <c:v>2876.6499020000001</c:v>
                </c:pt>
                <c:pt idx="126">
                  <c:v>2825.1499020000001</c:v>
                </c:pt>
                <c:pt idx="127">
                  <c:v>2842.0500489999999</c:v>
                </c:pt>
                <c:pt idx="128">
                  <c:v>2866.5500489999999</c:v>
                </c:pt>
                <c:pt idx="129">
                  <c:v>2854.75</c:v>
                </c:pt>
                <c:pt idx="130">
                  <c:v>2857.3000489999999</c:v>
                </c:pt>
                <c:pt idx="131">
                  <c:v>2838.4499510000001</c:v>
                </c:pt>
                <c:pt idx="132">
                  <c:v>2857.8999020000001</c:v>
                </c:pt>
                <c:pt idx="133">
                  <c:v>2870</c:v>
                </c:pt>
                <c:pt idx="134">
                  <c:v>2851.5</c:v>
                </c:pt>
                <c:pt idx="135">
                  <c:v>2790.3000489999999</c:v>
                </c:pt>
                <c:pt idx="136">
                  <c:v>2685.1999510000001</c:v>
                </c:pt>
                <c:pt idx="137">
                  <c:v>2704.3999020000001</c:v>
                </c:pt>
                <c:pt idx="138">
                  <c:v>2771.5500489999999</c:v>
                </c:pt>
                <c:pt idx="139">
                  <c:v>2776.6499020000001</c:v>
                </c:pt>
                <c:pt idx="140">
                  <c:v>2776.9499510000001</c:v>
                </c:pt>
                <c:pt idx="141">
                  <c:v>2762.0500489999999</c:v>
                </c:pt>
                <c:pt idx="142">
                  <c:v>2721.3500979999999</c:v>
                </c:pt>
                <c:pt idx="143">
                  <c:v>2638.25</c:v>
                </c:pt>
                <c:pt idx="144">
                  <c:v>2591.3500979999999</c:v>
                </c:pt>
                <c:pt idx="145">
                  <c:v>2536.3000489999999</c:v>
                </c:pt>
                <c:pt idx="146">
                  <c:v>2549.1999510000001</c:v>
                </c:pt>
                <c:pt idx="147">
                  <c:v>2525.5500489999999</c:v>
                </c:pt>
                <c:pt idx="148">
                  <c:v>2621.8000489999999</c:v>
                </c:pt>
                <c:pt idx="149">
                  <c:v>2646.1000979999999</c:v>
                </c:pt>
                <c:pt idx="150">
                  <c:v>2624.9499510000001</c:v>
                </c:pt>
                <c:pt idx="151">
                  <c:v>2570.5</c:v>
                </c:pt>
                <c:pt idx="152">
                  <c:v>2548.1499020000001</c:v>
                </c:pt>
                <c:pt idx="153">
                  <c:v>2550.0500489999999</c:v>
                </c:pt>
                <c:pt idx="154">
                  <c:v>2546.4499510000001</c:v>
                </c:pt>
                <c:pt idx="155">
                  <c:v>2535.8999020000001</c:v>
                </c:pt>
                <c:pt idx="156">
                  <c:v>2553.6999510000001</c:v>
                </c:pt>
                <c:pt idx="157">
                  <c:v>2562</c:v>
                </c:pt>
                <c:pt idx="158">
                  <c:v>2541.1999510000001</c:v>
                </c:pt>
                <c:pt idx="159">
                  <c:v>2565.5500489999999</c:v>
                </c:pt>
                <c:pt idx="160">
                  <c:v>2569.8500979999999</c:v>
                </c:pt>
                <c:pt idx="161">
                  <c:v>2581.8999020000001</c:v>
                </c:pt>
                <c:pt idx="162">
                  <c:v>2585.6000979999999</c:v>
                </c:pt>
                <c:pt idx="163">
                  <c:v>2610.75</c:v>
                </c:pt>
                <c:pt idx="164">
                  <c:v>2649.8500979999999</c:v>
                </c:pt>
                <c:pt idx="165">
                  <c:v>2676.8500979999999</c:v>
                </c:pt>
                <c:pt idx="166">
                  <c:v>2673.1499020000001</c:v>
                </c:pt>
                <c:pt idx="167">
                  <c:v>2643.9499510000001</c:v>
                </c:pt>
                <c:pt idx="168">
                  <c:v>2646.3500979999999</c:v>
                </c:pt>
                <c:pt idx="169">
                  <c:v>2588.8999020000001</c:v>
                </c:pt>
                <c:pt idx="170">
                  <c:v>2621.0500489999999</c:v>
                </c:pt>
                <c:pt idx="171">
                  <c:v>2651.5</c:v>
                </c:pt>
                <c:pt idx="172">
                  <c:v>2712.5</c:v>
                </c:pt>
                <c:pt idx="173">
                  <c:v>2668.5</c:v>
                </c:pt>
                <c:pt idx="174">
                  <c:v>2688.3999020000001</c:v>
                </c:pt>
                <c:pt idx="175">
                  <c:v>2730.75</c:v>
                </c:pt>
                <c:pt idx="176">
                  <c:v>2739.4499510000001</c:v>
                </c:pt>
                <c:pt idx="177">
                  <c:v>2744</c:v>
                </c:pt>
                <c:pt idx="178">
                  <c:v>2723.1499020000001</c:v>
                </c:pt>
                <c:pt idx="179">
                  <c:v>2677.4499510000001</c:v>
                </c:pt>
                <c:pt idx="180">
                  <c:v>2685.4499510000001</c:v>
                </c:pt>
                <c:pt idx="181">
                  <c:v>2658.8500979999999</c:v>
                </c:pt>
                <c:pt idx="182">
                  <c:v>2673.1000979999999</c:v>
                </c:pt>
                <c:pt idx="183">
                  <c:v>2708.1499020000001</c:v>
                </c:pt>
                <c:pt idx="184">
                  <c:v>2783.5</c:v>
                </c:pt>
                <c:pt idx="185">
                  <c:v>2828.25</c:v>
                </c:pt>
                <c:pt idx="186">
                  <c:v>2851.8999020000001</c:v>
                </c:pt>
                <c:pt idx="187">
                  <c:v>2871.8000489999999</c:v>
                </c:pt>
                <c:pt idx="188">
                  <c:v>2820.4499510000001</c:v>
                </c:pt>
                <c:pt idx="189">
                  <c:v>2827.6499020000001</c:v>
                </c:pt>
                <c:pt idx="190">
                  <c:v>2798.8000489999999</c:v>
                </c:pt>
                <c:pt idx="191">
                  <c:v>2759.5500489999999</c:v>
                </c:pt>
                <c:pt idx="192">
                  <c:v>2758.1999510000001</c:v>
                </c:pt>
                <c:pt idx="193">
                  <c:v>2751.5</c:v>
                </c:pt>
                <c:pt idx="194">
                  <c:v>2771.4499510000001</c:v>
                </c:pt>
                <c:pt idx="195">
                  <c:v>2759.4499510000001</c:v>
                </c:pt>
                <c:pt idx="196">
                  <c:v>2747.3500979999999</c:v>
                </c:pt>
                <c:pt idx="197">
                  <c:v>2770.8500979999999</c:v>
                </c:pt>
                <c:pt idx="198">
                  <c:v>2724.8500979999999</c:v>
                </c:pt>
                <c:pt idx="199">
                  <c:v>2780.6000979999999</c:v>
                </c:pt>
                <c:pt idx="200">
                  <c:v>2772.5500489999999</c:v>
                </c:pt>
                <c:pt idx="201">
                  <c:v>2757.4499510000001</c:v>
                </c:pt>
                <c:pt idx="202">
                  <c:v>2727.6999510000001</c:v>
                </c:pt>
                <c:pt idx="203">
                  <c:v>2636.8500979999999</c:v>
                </c:pt>
                <c:pt idx="204">
                  <c:v>2686.3000489999999</c:v>
                </c:pt>
                <c:pt idx="205">
                  <c:v>2702.3500979999999</c:v>
                </c:pt>
                <c:pt idx="206">
                  <c:v>2696.6000979999999</c:v>
                </c:pt>
                <c:pt idx="207">
                  <c:v>2722.1999510000001</c:v>
                </c:pt>
                <c:pt idx="208">
                  <c:v>2738.8500979999999</c:v>
                </c:pt>
                <c:pt idx="209">
                  <c:v>2715.8999020000001</c:v>
                </c:pt>
                <c:pt idx="210">
                  <c:v>2720.3999020000001</c:v>
                </c:pt>
                <c:pt idx="211">
                  <c:v>2709.3000489999999</c:v>
                </c:pt>
                <c:pt idx="212">
                  <c:v>2767.1499020000001</c:v>
                </c:pt>
                <c:pt idx="213">
                  <c:v>2742.5500489999999</c:v>
                </c:pt>
                <c:pt idx="214">
                  <c:v>2752.3500979999999</c:v>
                </c:pt>
                <c:pt idx="215">
                  <c:v>2712.0500489999999</c:v>
                </c:pt>
                <c:pt idx="216">
                  <c:v>2693.75</c:v>
                </c:pt>
                <c:pt idx="217">
                  <c:v>2694.25</c:v>
                </c:pt>
                <c:pt idx="218">
                  <c:v>2728.4499510000001</c:v>
                </c:pt>
                <c:pt idx="219">
                  <c:v>2758.6000979999999</c:v>
                </c:pt>
                <c:pt idx="220">
                  <c:v>2766.8500979999999</c:v>
                </c:pt>
                <c:pt idx="221">
                  <c:v>2769.9499510000001</c:v>
                </c:pt>
                <c:pt idx="222">
                  <c:v>2769.5500489999999</c:v>
                </c:pt>
                <c:pt idx="223">
                  <c:v>2746.4499510000001</c:v>
                </c:pt>
                <c:pt idx="224">
                  <c:v>2774.6000979999999</c:v>
                </c:pt>
                <c:pt idx="225">
                  <c:v>2771.8999020000001</c:v>
                </c:pt>
                <c:pt idx="226">
                  <c:v>2785</c:v>
                </c:pt>
                <c:pt idx="227">
                  <c:v>2736.1499020000001</c:v>
                </c:pt>
                <c:pt idx="228">
                  <c:v>2702.3000489999999</c:v>
                </c:pt>
                <c:pt idx="229">
                  <c:v>2763.25</c:v>
                </c:pt>
                <c:pt idx="230">
                  <c:v>2727.25</c:v>
                </c:pt>
                <c:pt idx="231">
                  <c:v>2660.9499510000001</c:v>
                </c:pt>
                <c:pt idx="232">
                  <c:v>2654.25</c:v>
                </c:pt>
                <c:pt idx="233">
                  <c:v>2695</c:v>
                </c:pt>
                <c:pt idx="234">
                  <c:v>2652.6000979999999</c:v>
                </c:pt>
                <c:pt idx="235">
                  <c:v>2614.6499020000001</c:v>
                </c:pt>
                <c:pt idx="236">
                  <c:v>2559.1999510000001</c:v>
                </c:pt>
                <c:pt idx="237">
                  <c:v>2583.3000489999999</c:v>
                </c:pt>
                <c:pt idx="238">
                  <c:v>2561.5500489999999</c:v>
                </c:pt>
                <c:pt idx="239">
                  <c:v>2542.5</c:v>
                </c:pt>
                <c:pt idx="240">
                  <c:v>2572</c:v>
                </c:pt>
                <c:pt idx="241">
                  <c:v>2556.6999510000001</c:v>
                </c:pt>
                <c:pt idx="242">
                  <c:v>2535.5500489999999</c:v>
                </c:pt>
                <c:pt idx="243">
                  <c:v>2527.4499510000001</c:v>
                </c:pt>
                <c:pt idx="244">
                  <c:v>2520.5500489999999</c:v>
                </c:pt>
                <c:pt idx="245">
                  <c:v>2499.4499510000001</c:v>
                </c:pt>
                <c:pt idx="246">
                  <c:v>2495.5</c:v>
                </c:pt>
                <c:pt idx="247">
                  <c:v>2485.6499020000001</c:v>
                </c:pt>
                <c:pt idx="248">
                  <c:v>2437.5500489999999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27-4F7B-95AA-B64E6495EF0C}"/>
            </c:ext>
          </c:extLst>
        </c:ser>
        <c:ser>
          <c:idx val="1"/>
          <c:order val="1"/>
          <c:tx>
            <c:strRef>
              <c:f>ADANIPOWER.Xlsx!$AB$1</c:f>
              <c:strCache>
                <c:ptCount val="1"/>
                <c:pt idx="0">
                  <c:v>AP Open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ADANIPOWER.Xlsx!$Z$2:$Z$250</c:f>
              <c:numCache>
                <c:formatCode>m/d/yyyy</c:formatCode>
                <c:ptCount val="249"/>
                <c:pt idx="0">
                  <c:v>44620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44627</c:v>
                </c:pt>
                <c:pt idx="5">
                  <c:v>44628</c:v>
                </c:pt>
                <c:pt idx="6">
                  <c:v>44629</c:v>
                </c:pt>
                <c:pt idx="7">
                  <c:v>44630</c:v>
                </c:pt>
                <c:pt idx="8">
                  <c:v>44631</c:v>
                </c:pt>
                <c:pt idx="9">
                  <c:v>44634</c:v>
                </c:pt>
                <c:pt idx="10">
                  <c:v>44635</c:v>
                </c:pt>
                <c:pt idx="11">
                  <c:v>44636</c:v>
                </c:pt>
                <c:pt idx="12">
                  <c:v>44637</c:v>
                </c:pt>
                <c:pt idx="13">
                  <c:v>44641</c:v>
                </c:pt>
                <c:pt idx="14">
                  <c:v>44642</c:v>
                </c:pt>
                <c:pt idx="15">
                  <c:v>44643</c:v>
                </c:pt>
                <c:pt idx="16">
                  <c:v>44644</c:v>
                </c:pt>
                <c:pt idx="17">
                  <c:v>44645</c:v>
                </c:pt>
                <c:pt idx="18">
                  <c:v>44648</c:v>
                </c:pt>
                <c:pt idx="19">
                  <c:v>44649</c:v>
                </c:pt>
                <c:pt idx="20">
                  <c:v>44650</c:v>
                </c:pt>
                <c:pt idx="21">
                  <c:v>44651</c:v>
                </c:pt>
                <c:pt idx="22">
                  <c:v>44652</c:v>
                </c:pt>
                <c:pt idx="23">
                  <c:v>44655</c:v>
                </c:pt>
                <c:pt idx="24">
                  <c:v>44656</c:v>
                </c:pt>
                <c:pt idx="25">
                  <c:v>44657</c:v>
                </c:pt>
                <c:pt idx="26">
                  <c:v>44658</c:v>
                </c:pt>
                <c:pt idx="27">
                  <c:v>44659</c:v>
                </c:pt>
                <c:pt idx="28">
                  <c:v>44662</c:v>
                </c:pt>
                <c:pt idx="29">
                  <c:v>44663</c:v>
                </c:pt>
                <c:pt idx="30">
                  <c:v>44664</c:v>
                </c:pt>
                <c:pt idx="31">
                  <c:v>44669</c:v>
                </c:pt>
                <c:pt idx="32">
                  <c:v>44670</c:v>
                </c:pt>
                <c:pt idx="33">
                  <c:v>44671</c:v>
                </c:pt>
                <c:pt idx="34">
                  <c:v>44672</c:v>
                </c:pt>
                <c:pt idx="35">
                  <c:v>44673</c:v>
                </c:pt>
                <c:pt idx="36">
                  <c:v>44676</c:v>
                </c:pt>
                <c:pt idx="37">
                  <c:v>44677</c:v>
                </c:pt>
                <c:pt idx="38">
                  <c:v>44678</c:v>
                </c:pt>
                <c:pt idx="39">
                  <c:v>44679</c:v>
                </c:pt>
                <c:pt idx="40">
                  <c:v>44680</c:v>
                </c:pt>
                <c:pt idx="41">
                  <c:v>44683</c:v>
                </c:pt>
                <c:pt idx="42">
                  <c:v>44685</c:v>
                </c:pt>
                <c:pt idx="43">
                  <c:v>44686</c:v>
                </c:pt>
                <c:pt idx="44">
                  <c:v>44687</c:v>
                </c:pt>
                <c:pt idx="45">
                  <c:v>44690</c:v>
                </c:pt>
                <c:pt idx="46">
                  <c:v>44691</c:v>
                </c:pt>
                <c:pt idx="47">
                  <c:v>44692</c:v>
                </c:pt>
                <c:pt idx="48">
                  <c:v>44693</c:v>
                </c:pt>
                <c:pt idx="49">
                  <c:v>44694</c:v>
                </c:pt>
                <c:pt idx="50">
                  <c:v>44697</c:v>
                </c:pt>
                <c:pt idx="51">
                  <c:v>44698</c:v>
                </c:pt>
                <c:pt idx="52">
                  <c:v>44699</c:v>
                </c:pt>
                <c:pt idx="53">
                  <c:v>44700</c:v>
                </c:pt>
                <c:pt idx="54">
                  <c:v>44701</c:v>
                </c:pt>
                <c:pt idx="55">
                  <c:v>44704</c:v>
                </c:pt>
                <c:pt idx="56">
                  <c:v>44705</c:v>
                </c:pt>
                <c:pt idx="57">
                  <c:v>44706</c:v>
                </c:pt>
                <c:pt idx="58">
                  <c:v>44707</c:v>
                </c:pt>
                <c:pt idx="59">
                  <c:v>44708</c:v>
                </c:pt>
                <c:pt idx="60">
                  <c:v>44711</c:v>
                </c:pt>
                <c:pt idx="61">
                  <c:v>44712</c:v>
                </c:pt>
                <c:pt idx="62">
                  <c:v>44713</c:v>
                </c:pt>
                <c:pt idx="63">
                  <c:v>44714</c:v>
                </c:pt>
                <c:pt idx="64">
                  <c:v>44715</c:v>
                </c:pt>
                <c:pt idx="65">
                  <c:v>44718</c:v>
                </c:pt>
                <c:pt idx="66">
                  <c:v>44719</c:v>
                </c:pt>
                <c:pt idx="67">
                  <c:v>44720</c:v>
                </c:pt>
                <c:pt idx="68">
                  <c:v>44721</c:v>
                </c:pt>
                <c:pt idx="69">
                  <c:v>44722</c:v>
                </c:pt>
                <c:pt idx="70">
                  <c:v>44725</c:v>
                </c:pt>
                <c:pt idx="71">
                  <c:v>44726</c:v>
                </c:pt>
                <c:pt idx="72">
                  <c:v>44727</c:v>
                </c:pt>
                <c:pt idx="73">
                  <c:v>44728</c:v>
                </c:pt>
                <c:pt idx="74">
                  <c:v>44729</c:v>
                </c:pt>
                <c:pt idx="75">
                  <c:v>44732</c:v>
                </c:pt>
                <c:pt idx="76">
                  <c:v>44733</c:v>
                </c:pt>
                <c:pt idx="77">
                  <c:v>44734</c:v>
                </c:pt>
                <c:pt idx="78">
                  <c:v>44735</c:v>
                </c:pt>
                <c:pt idx="79">
                  <c:v>44736</c:v>
                </c:pt>
                <c:pt idx="80">
                  <c:v>44739</c:v>
                </c:pt>
                <c:pt idx="81">
                  <c:v>44740</c:v>
                </c:pt>
                <c:pt idx="82">
                  <c:v>44741</c:v>
                </c:pt>
                <c:pt idx="83">
                  <c:v>44742</c:v>
                </c:pt>
                <c:pt idx="84">
                  <c:v>44743</c:v>
                </c:pt>
                <c:pt idx="85">
                  <c:v>44746</c:v>
                </c:pt>
                <c:pt idx="86">
                  <c:v>44747</c:v>
                </c:pt>
                <c:pt idx="87">
                  <c:v>44748</c:v>
                </c:pt>
                <c:pt idx="88">
                  <c:v>44749</c:v>
                </c:pt>
                <c:pt idx="89">
                  <c:v>44750</c:v>
                </c:pt>
                <c:pt idx="90">
                  <c:v>44753</c:v>
                </c:pt>
                <c:pt idx="91">
                  <c:v>44754</c:v>
                </c:pt>
                <c:pt idx="92">
                  <c:v>44755</c:v>
                </c:pt>
                <c:pt idx="93">
                  <c:v>44756</c:v>
                </c:pt>
                <c:pt idx="94">
                  <c:v>44757</c:v>
                </c:pt>
                <c:pt idx="95">
                  <c:v>44760</c:v>
                </c:pt>
                <c:pt idx="96">
                  <c:v>44761</c:v>
                </c:pt>
                <c:pt idx="97">
                  <c:v>44762</c:v>
                </c:pt>
                <c:pt idx="98">
                  <c:v>44763</c:v>
                </c:pt>
                <c:pt idx="99">
                  <c:v>44764</c:v>
                </c:pt>
                <c:pt idx="100">
                  <c:v>44767</c:v>
                </c:pt>
                <c:pt idx="101">
                  <c:v>44768</c:v>
                </c:pt>
                <c:pt idx="102">
                  <c:v>44769</c:v>
                </c:pt>
                <c:pt idx="103">
                  <c:v>44770</c:v>
                </c:pt>
                <c:pt idx="104">
                  <c:v>44771</c:v>
                </c:pt>
                <c:pt idx="105">
                  <c:v>44774</c:v>
                </c:pt>
                <c:pt idx="106">
                  <c:v>44775</c:v>
                </c:pt>
                <c:pt idx="107">
                  <c:v>44776</c:v>
                </c:pt>
                <c:pt idx="108">
                  <c:v>44777</c:v>
                </c:pt>
                <c:pt idx="109">
                  <c:v>44778</c:v>
                </c:pt>
                <c:pt idx="110">
                  <c:v>44781</c:v>
                </c:pt>
                <c:pt idx="111">
                  <c:v>44783</c:v>
                </c:pt>
                <c:pt idx="112">
                  <c:v>44784</c:v>
                </c:pt>
                <c:pt idx="113">
                  <c:v>44785</c:v>
                </c:pt>
                <c:pt idx="114">
                  <c:v>44789</c:v>
                </c:pt>
                <c:pt idx="115">
                  <c:v>44790</c:v>
                </c:pt>
                <c:pt idx="116">
                  <c:v>44791</c:v>
                </c:pt>
                <c:pt idx="117">
                  <c:v>44792</c:v>
                </c:pt>
                <c:pt idx="118">
                  <c:v>44795</c:v>
                </c:pt>
                <c:pt idx="119">
                  <c:v>44796</c:v>
                </c:pt>
                <c:pt idx="120">
                  <c:v>44797</c:v>
                </c:pt>
                <c:pt idx="121">
                  <c:v>44798</c:v>
                </c:pt>
                <c:pt idx="122">
                  <c:v>44799</c:v>
                </c:pt>
                <c:pt idx="123">
                  <c:v>44802</c:v>
                </c:pt>
                <c:pt idx="124">
                  <c:v>44803</c:v>
                </c:pt>
                <c:pt idx="125">
                  <c:v>44805</c:v>
                </c:pt>
                <c:pt idx="126">
                  <c:v>44806</c:v>
                </c:pt>
                <c:pt idx="127">
                  <c:v>44809</c:v>
                </c:pt>
                <c:pt idx="128">
                  <c:v>44810</c:v>
                </c:pt>
                <c:pt idx="129">
                  <c:v>44811</c:v>
                </c:pt>
                <c:pt idx="130">
                  <c:v>44812</c:v>
                </c:pt>
                <c:pt idx="131">
                  <c:v>44813</c:v>
                </c:pt>
                <c:pt idx="132">
                  <c:v>44816</c:v>
                </c:pt>
                <c:pt idx="133">
                  <c:v>44817</c:v>
                </c:pt>
                <c:pt idx="134">
                  <c:v>44818</c:v>
                </c:pt>
                <c:pt idx="135">
                  <c:v>44819</c:v>
                </c:pt>
                <c:pt idx="136">
                  <c:v>44820</c:v>
                </c:pt>
                <c:pt idx="137">
                  <c:v>44823</c:v>
                </c:pt>
                <c:pt idx="138">
                  <c:v>44824</c:v>
                </c:pt>
                <c:pt idx="139">
                  <c:v>44825</c:v>
                </c:pt>
                <c:pt idx="140">
                  <c:v>44826</c:v>
                </c:pt>
                <c:pt idx="141">
                  <c:v>44827</c:v>
                </c:pt>
                <c:pt idx="142">
                  <c:v>44830</c:v>
                </c:pt>
                <c:pt idx="143">
                  <c:v>44831</c:v>
                </c:pt>
                <c:pt idx="144">
                  <c:v>44832</c:v>
                </c:pt>
                <c:pt idx="145">
                  <c:v>44833</c:v>
                </c:pt>
                <c:pt idx="146">
                  <c:v>44834</c:v>
                </c:pt>
                <c:pt idx="147">
                  <c:v>44837</c:v>
                </c:pt>
                <c:pt idx="148">
                  <c:v>44838</c:v>
                </c:pt>
                <c:pt idx="149">
                  <c:v>44840</c:v>
                </c:pt>
                <c:pt idx="150">
                  <c:v>44841</c:v>
                </c:pt>
                <c:pt idx="151">
                  <c:v>44844</c:v>
                </c:pt>
                <c:pt idx="152">
                  <c:v>44845</c:v>
                </c:pt>
                <c:pt idx="153">
                  <c:v>44846</c:v>
                </c:pt>
                <c:pt idx="154">
                  <c:v>44847</c:v>
                </c:pt>
                <c:pt idx="155">
                  <c:v>44848</c:v>
                </c:pt>
                <c:pt idx="156">
                  <c:v>44851</c:v>
                </c:pt>
                <c:pt idx="157">
                  <c:v>44852</c:v>
                </c:pt>
                <c:pt idx="158">
                  <c:v>44853</c:v>
                </c:pt>
                <c:pt idx="159">
                  <c:v>44854</c:v>
                </c:pt>
                <c:pt idx="160">
                  <c:v>44855</c:v>
                </c:pt>
                <c:pt idx="161">
                  <c:v>44858</c:v>
                </c:pt>
                <c:pt idx="162">
                  <c:v>44859</c:v>
                </c:pt>
                <c:pt idx="163">
                  <c:v>44861</c:v>
                </c:pt>
                <c:pt idx="164">
                  <c:v>44862</c:v>
                </c:pt>
                <c:pt idx="165">
                  <c:v>44865</c:v>
                </c:pt>
                <c:pt idx="166">
                  <c:v>44866</c:v>
                </c:pt>
                <c:pt idx="167">
                  <c:v>44867</c:v>
                </c:pt>
                <c:pt idx="168">
                  <c:v>44868</c:v>
                </c:pt>
                <c:pt idx="169">
                  <c:v>44869</c:v>
                </c:pt>
                <c:pt idx="170">
                  <c:v>44872</c:v>
                </c:pt>
                <c:pt idx="171">
                  <c:v>44874</c:v>
                </c:pt>
                <c:pt idx="172">
                  <c:v>44875</c:v>
                </c:pt>
                <c:pt idx="173">
                  <c:v>44876</c:v>
                </c:pt>
                <c:pt idx="174">
                  <c:v>44879</c:v>
                </c:pt>
                <c:pt idx="175">
                  <c:v>44880</c:v>
                </c:pt>
                <c:pt idx="176">
                  <c:v>44881</c:v>
                </c:pt>
                <c:pt idx="177">
                  <c:v>44882</c:v>
                </c:pt>
                <c:pt idx="178">
                  <c:v>44883</c:v>
                </c:pt>
                <c:pt idx="179">
                  <c:v>44886</c:v>
                </c:pt>
                <c:pt idx="180">
                  <c:v>44887</c:v>
                </c:pt>
                <c:pt idx="181">
                  <c:v>44888</c:v>
                </c:pt>
                <c:pt idx="182">
                  <c:v>44889</c:v>
                </c:pt>
                <c:pt idx="183">
                  <c:v>44890</c:v>
                </c:pt>
                <c:pt idx="184">
                  <c:v>44893</c:v>
                </c:pt>
                <c:pt idx="185">
                  <c:v>44894</c:v>
                </c:pt>
                <c:pt idx="186">
                  <c:v>44895</c:v>
                </c:pt>
                <c:pt idx="187">
                  <c:v>44896</c:v>
                </c:pt>
                <c:pt idx="188">
                  <c:v>44897</c:v>
                </c:pt>
                <c:pt idx="189">
                  <c:v>44900</c:v>
                </c:pt>
                <c:pt idx="190">
                  <c:v>44901</c:v>
                </c:pt>
                <c:pt idx="191">
                  <c:v>44902</c:v>
                </c:pt>
                <c:pt idx="192">
                  <c:v>44903</c:v>
                </c:pt>
                <c:pt idx="193">
                  <c:v>44904</c:v>
                </c:pt>
                <c:pt idx="194">
                  <c:v>44907</c:v>
                </c:pt>
                <c:pt idx="195">
                  <c:v>44908</c:v>
                </c:pt>
                <c:pt idx="196">
                  <c:v>44909</c:v>
                </c:pt>
                <c:pt idx="197">
                  <c:v>44910</c:v>
                </c:pt>
                <c:pt idx="198">
                  <c:v>44911</c:v>
                </c:pt>
                <c:pt idx="199">
                  <c:v>44914</c:v>
                </c:pt>
                <c:pt idx="200">
                  <c:v>44915</c:v>
                </c:pt>
                <c:pt idx="201">
                  <c:v>44916</c:v>
                </c:pt>
                <c:pt idx="202">
                  <c:v>44917</c:v>
                </c:pt>
                <c:pt idx="203">
                  <c:v>44918</c:v>
                </c:pt>
                <c:pt idx="204">
                  <c:v>44921</c:v>
                </c:pt>
                <c:pt idx="205">
                  <c:v>44922</c:v>
                </c:pt>
                <c:pt idx="206">
                  <c:v>44923</c:v>
                </c:pt>
                <c:pt idx="207">
                  <c:v>44924</c:v>
                </c:pt>
                <c:pt idx="208">
                  <c:v>44925</c:v>
                </c:pt>
                <c:pt idx="209">
                  <c:v>44928</c:v>
                </c:pt>
                <c:pt idx="210">
                  <c:v>44929</c:v>
                </c:pt>
                <c:pt idx="211">
                  <c:v>44930</c:v>
                </c:pt>
                <c:pt idx="212">
                  <c:v>44931</c:v>
                </c:pt>
                <c:pt idx="213">
                  <c:v>44932</c:v>
                </c:pt>
                <c:pt idx="214">
                  <c:v>44935</c:v>
                </c:pt>
                <c:pt idx="215">
                  <c:v>44936</c:v>
                </c:pt>
                <c:pt idx="216">
                  <c:v>44937</c:v>
                </c:pt>
                <c:pt idx="217">
                  <c:v>44938</c:v>
                </c:pt>
                <c:pt idx="218">
                  <c:v>44939</c:v>
                </c:pt>
                <c:pt idx="219">
                  <c:v>44942</c:v>
                </c:pt>
                <c:pt idx="220">
                  <c:v>44943</c:v>
                </c:pt>
                <c:pt idx="221">
                  <c:v>44944</c:v>
                </c:pt>
                <c:pt idx="222">
                  <c:v>44945</c:v>
                </c:pt>
                <c:pt idx="223">
                  <c:v>44946</c:v>
                </c:pt>
                <c:pt idx="224">
                  <c:v>44949</c:v>
                </c:pt>
                <c:pt idx="225">
                  <c:v>44950</c:v>
                </c:pt>
                <c:pt idx="226">
                  <c:v>44951</c:v>
                </c:pt>
                <c:pt idx="227">
                  <c:v>44953</c:v>
                </c:pt>
                <c:pt idx="228">
                  <c:v>44956</c:v>
                </c:pt>
                <c:pt idx="229">
                  <c:v>44957</c:v>
                </c:pt>
                <c:pt idx="230">
                  <c:v>44958</c:v>
                </c:pt>
                <c:pt idx="231">
                  <c:v>44959</c:v>
                </c:pt>
                <c:pt idx="232">
                  <c:v>44960</c:v>
                </c:pt>
                <c:pt idx="233">
                  <c:v>44963</c:v>
                </c:pt>
                <c:pt idx="234">
                  <c:v>44964</c:v>
                </c:pt>
                <c:pt idx="235">
                  <c:v>44965</c:v>
                </c:pt>
                <c:pt idx="236">
                  <c:v>44966</c:v>
                </c:pt>
                <c:pt idx="237">
                  <c:v>44967</c:v>
                </c:pt>
                <c:pt idx="238">
                  <c:v>44970</c:v>
                </c:pt>
                <c:pt idx="239">
                  <c:v>44971</c:v>
                </c:pt>
                <c:pt idx="240">
                  <c:v>44972</c:v>
                </c:pt>
                <c:pt idx="241">
                  <c:v>44973</c:v>
                </c:pt>
                <c:pt idx="242">
                  <c:v>44974</c:v>
                </c:pt>
                <c:pt idx="243">
                  <c:v>44977</c:v>
                </c:pt>
                <c:pt idx="244">
                  <c:v>44978</c:v>
                </c:pt>
                <c:pt idx="245">
                  <c:v>44979</c:v>
                </c:pt>
                <c:pt idx="246">
                  <c:v>44980</c:v>
                </c:pt>
                <c:pt idx="247">
                  <c:v>44981</c:v>
                </c:pt>
                <c:pt idx="248">
                  <c:v>44984</c:v>
                </c:pt>
              </c:numCache>
            </c:numRef>
          </c:cat>
          <c:val>
            <c:numRef>
              <c:f>ADANIPOWER.Xlsx!$AB$2:$AB$250</c:f>
              <c:numCache>
                <c:formatCode>General</c:formatCode>
                <c:ptCount val="249"/>
                <c:pt idx="0">
                  <c:v>122</c:v>
                </c:pt>
                <c:pt idx="1">
                  <c:v>123.349998</c:v>
                </c:pt>
                <c:pt idx="2">
                  <c:v>125.25</c:v>
                </c:pt>
                <c:pt idx="3">
                  <c:v>122</c:v>
                </c:pt>
                <c:pt idx="4">
                  <c:v>116</c:v>
                </c:pt>
                <c:pt idx="5">
                  <c:v>118.400002</c:v>
                </c:pt>
                <c:pt idx="6">
                  <c:v>121.300003</c:v>
                </c:pt>
                <c:pt idx="7">
                  <c:v>125</c:v>
                </c:pt>
                <c:pt idx="8">
                  <c:v>122</c:v>
                </c:pt>
                <c:pt idx="9">
                  <c:v>122.550003</c:v>
                </c:pt>
                <c:pt idx="10">
                  <c:v>122.900002</c:v>
                </c:pt>
                <c:pt idx="11">
                  <c:v>124.300003</c:v>
                </c:pt>
                <c:pt idx="12">
                  <c:v>125.300003</c:v>
                </c:pt>
                <c:pt idx="13">
                  <c:v>125.849998</c:v>
                </c:pt>
                <c:pt idx="14">
                  <c:v>124.5</c:v>
                </c:pt>
                <c:pt idx="15">
                  <c:v>124.699997</c:v>
                </c:pt>
                <c:pt idx="16">
                  <c:v>130.699997</c:v>
                </c:pt>
                <c:pt idx="17">
                  <c:v>133.449997</c:v>
                </c:pt>
                <c:pt idx="18">
                  <c:v>146</c:v>
                </c:pt>
                <c:pt idx="19">
                  <c:v>154.64999399999999</c:v>
                </c:pt>
                <c:pt idx="20">
                  <c:v>177</c:v>
                </c:pt>
                <c:pt idx="21">
                  <c:v>169.89999399999999</c:v>
                </c:pt>
                <c:pt idx="22">
                  <c:v>187.699997</c:v>
                </c:pt>
                <c:pt idx="23">
                  <c:v>207</c:v>
                </c:pt>
                <c:pt idx="24">
                  <c:v>215</c:v>
                </c:pt>
                <c:pt idx="25">
                  <c:v>237.5</c:v>
                </c:pt>
                <c:pt idx="26">
                  <c:v>256.95001200000002</c:v>
                </c:pt>
                <c:pt idx="27">
                  <c:v>220.949997</c:v>
                </c:pt>
                <c:pt idx="28">
                  <c:v>218.949997</c:v>
                </c:pt>
                <c:pt idx="29">
                  <c:v>234</c:v>
                </c:pt>
                <c:pt idx="30">
                  <c:v>232.39999399999999</c:v>
                </c:pt>
                <c:pt idx="31">
                  <c:v>221</c:v>
                </c:pt>
                <c:pt idx="32">
                  <c:v>240</c:v>
                </c:pt>
                <c:pt idx="33">
                  <c:v>238.949997</c:v>
                </c:pt>
                <c:pt idx="34">
                  <c:v>239.300003</c:v>
                </c:pt>
                <c:pt idx="35">
                  <c:v>249.800003</c:v>
                </c:pt>
                <c:pt idx="36">
                  <c:v>263.39999399999999</c:v>
                </c:pt>
                <c:pt idx="37">
                  <c:v>285.60000600000001</c:v>
                </c:pt>
                <c:pt idx="38">
                  <c:v>298</c:v>
                </c:pt>
                <c:pt idx="39">
                  <c:v>305.20001200000002</c:v>
                </c:pt>
                <c:pt idx="40">
                  <c:v>278</c:v>
                </c:pt>
                <c:pt idx="41">
                  <c:v>280</c:v>
                </c:pt>
                <c:pt idx="42">
                  <c:v>288</c:v>
                </c:pt>
                <c:pt idx="43">
                  <c:v>260</c:v>
                </c:pt>
                <c:pt idx="44">
                  <c:v>283.95001200000002</c:v>
                </c:pt>
                <c:pt idx="45">
                  <c:v>295.64999399999999</c:v>
                </c:pt>
                <c:pt idx="46">
                  <c:v>272.45001200000002</c:v>
                </c:pt>
                <c:pt idx="47">
                  <c:v>257.29998799999998</c:v>
                </c:pt>
                <c:pt idx="48">
                  <c:v>250</c:v>
                </c:pt>
                <c:pt idx="49">
                  <c:v>250</c:v>
                </c:pt>
                <c:pt idx="50">
                  <c:v>267.35000600000001</c:v>
                </c:pt>
                <c:pt idx="51">
                  <c:v>280.70001200000002</c:v>
                </c:pt>
                <c:pt idx="52">
                  <c:v>294.70001200000002</c:v>
                </c:pt>
                <c:pt idx="53">
                  <c:v>286.95001200000002</c:v>
                </c:pt>
                <c:pt idx="54">
                  <c:v>307</c:v>
                </c:pt>
                <c:pt idx="55">
                  <c:v>321.64999399999999</c:v>
                </c:pt>
                <c:pt idx="56">
                  <c:v>340.95001200000002</c:v>
                </c:pt>
                <c:pt idx="57">
                  <c:v>309.10000600000001</c:v>
                </c:pt>
                <c:pt idx="58">
                  <c:v>308.89999399999999</c:v>
                </c:pt>
                <c:pt idx="59">
                  <c:v>325.29998799999998</c:v>
                </c:pt>
                <c:pt idx="60">
                  <c:v>338.70001200000002</c:v>
                </c:pt>
                <c:pt idx="61">
                  <c:v>323.25</c:v>
                </c:pt>
                <c:pt idx="62">
                  <c:v>310.5</c:v>
                </c:pt>
                <c:pt idx="63">
                  <c:v>291.75</c:v>
                </c:pt>
                <c:pt idx="64">
                  <c:v>301</c:v>
                </c:pt>
                <c:pt idx="65">
                  <c:v>285</c:v>
                </c:pt>
                <c:pt idx="66">
                  <c:v>299.95001200000002</c:v>
                </c:pt>
                <c:pt idx="67">
                  <c:v>295.54998799999998</c:v>
                </c:pt>
                <c:pt idx="68">
                  <c:v>284.45001200000002</c:v>
                </c:pt>
                <c:pt idx="69">
                  <c:v>282.79998799999998</c:v>
                </c:pt>
                <c:pt idx="70">
                  <c:v>269.5</c:v>
                </c:pt>
                <c:pt idx="71">
                  <c:v>261.60000600000001</c:v>
                </c:pt>
                <c:pt idx="72">
                  <c:v>270</c:v>
                </c:pt>
                <c:pt idx="73">
                  <c:v>280</c:v>
                </c:pt>
                <c:pt idx="74">
                  <c:v>258.5</c:v>
                </c:pt>
                <c:pt idx="75">
                  <c:v>265.35000600000001</c:v>
                </c:pt>
                <c:pt idx="76">
                  <c:v>248.35000600000001</c:v>
                </c:pt>
                <c:pt idx="77">
                  <c:v>251.89999399999999</c:v>
                </c:pt>
                <c:pt idx="78">
                  <c:v>249.050003</c:v>
                </c:pt>
                <c:pt idx="79">
                  <c:v>256</c:v>
                </c:pt>
                <c:pt idx="80">
                  <c:v>270.95001200000002</c:v>
                </c:pt>
                <c:pt idx="81">
                  <c:v>270.04998799999998</c:v>
                </c:pt>
                <c:pt idx="82">
                  <c:v>267.95001200000002</c:v>
                </c:pt>
                <c:pt idx="83">
                  <c:v>272</c:v>
                </c:pt>
                <c:pt idx="84">
                  <c:v>262.85000600000001</c:v>
                </c:pt>
                <c:pt idx="85">
                  <c:v>263.89999399999999</c:v>
                </c:pt>
                <c:pt idx="86">
                  <c:v>263.39999399999999</c:v>
                </c:pt>
                <c:pt idx="87">
                  <c:v>264.10000600000001</c:v>
                </c:pt>
                <c:pt idx="88">
                  <c:v>265.5</c:v>
                </c:pt>
                <c:pt idx="89">
                  <c:v>277.89999399999999</c:v>
                </c:pt>
                <c:pt idx="90">
                  <c:v>270</c:v>
                </c:pt>
                <c:pt idx="91">
                  <c:v>286.79998799999998</c:v>
                </c:pt>
                <c:pt idx="92">
                  <c:v>298.39999399999999</c:v>
                </c:pt>
                <c:pt idx="93">
                  <c:v>288</c:v>
                </c:pt>
                <c:pt idx="94">
                  <c:v>286</c:v>
                </c:pt>
                <c:pt idx="95">
                  <c:v>289.39999399999999</c:v>
                </c:pt>
                <c:pt idx="96">
                  <c:v>286.95001200000002</c:v>
                </c:pt>
                <c:pt idx="97">
                  <c:v>296</c:v>
                </c:pt>
                <c:pt idx="98">
                  <c:v>290.95001200000002</c:v>
                </c:pt>
                <c:pt idx="99">
                  <c:v>294.95001200000002</c:v>
                </c:pt>
                <c:pt idx="100">
                  <c:v>291.29998799999998</c:v>
                </c:pt>
                <c:pt idx="101">
                  <c:v>291.85000600000001</c:v>
                </c:pt>
                <c:pt idx="102">
                  <c:v>299</c:v>
                </c:pt>
                <c:pt idx="103">
                  <c:v>321</c:v>
                </c:pt>
                <c:pt idx="104">
                  <c:v>323.25</c:v>
                </c:pt>
                <c:pt idx="105">
                  <c:v>314.64999399999999</c:v>
                </c:pt>
                <c:pt idx="106">
                  <c:v>321</c:v>
                </c:pt>
                <c:pt idx="107">
                  <c:v>329.89999399999999</c:v>
                </c:pt>
                <c:pt idx="108">
                  <c:v>344.95001200000002</c:v>
                </c:pt>
                <c:pt idx="109">
                  <c:v>345.70001200000002</c:v>
                </c:pt>
                <c:pt idx="110">
                  <c:v>328.39999399999999</c:v>
                </c:pt>
                <c:pt idx="111">
                  <c:v>330.70001200000002</c:v>
                </c:pt>
                <c:pt idx="112">
                  <c:v>342.79998799999998</c:v>
                </c:pt>
                <c:pt idx="113">
                  <c:v>343</c:v>
                </c:pt>
                <c:pt idx="114">
                  <c:v>349</c:v>
                </c:pt>
                <c:pt idx="115">
                  <c:v>367</c:v>
                </c:pt>
                <c:pt idx="116">
                  <c:v>389.5</c:v>
                </c:pt>
                <c:pt idx="117">
                  <c:v>407.70001200000002</c:v>
                </c:pt>
                <c:pt idx="118">
                  <c:v>420.14999399999999</c:v>
                </c:pt>
                <c:pt idx="119">
                  <c:v>421</c:v>
                </c:pt>
                <c:pt idx="120">
                  <c:v>390.39999399999999</c:v>
                </c:pt>
                <c:pt idx="121">
                  <c:v>370.89999399999999</c:v>
                </c:pt>
                <c:pt idx="122">
                  <c:v>393.5</c:v>
                </c:pt>
                <c:pt idx="123">
                  <c:v>360.04998799999998</c:v>
                </c:pt>
                <c:pt idx="124">
                  <c:v>400</c:v>
                </c:pt>
                <c:pt idx="125">
                  <c:v>417</c:v>
                </c:pt>
                <c:pt idx="126">
                  <c:v>413.35000600000001</c:v>
                </c:pt>
                <c:pt idx="127">
                  <c:v>403.64999399999999</c:v>
                </c:pt>
                <c:pt idx="128">
                  <c:v>392</c:v>
                </c:pt>
                <c:pt idx="129">
                  <c:v>404.70001200000002</c:v>
                </c:pt>
                <c:pt idx="130">
                  <c:v>413</c:v>
                </c:pt>
                <c:pt idx="131">
                  <c:v>405.75</c:v>
                </c:pt>
                <c:pt idx="132">
                  <c:v>402</c:v>
                </c:pt>
                <c:pt idx="133">
                  <c:v>400.5</c:v>
                </c:pt>
                <c:pt idx="134">
                  <c:v>385.75</c:v>
                </c:pt>
                <c:pt idx="135">
                  <c:v>389.5</c:v>
                </c:pt>
                <c:pt idx="136">
                  <c:v>399</c:v>
                </c:pt>
                <c:pt idx="137">
                  <c:v>390</c:v>
                </c:pt>
                <c:pt idx="138">
                  <c:v>393</c:v>
                </c:pt>
                <c:pt idx="139">
                  <c:v>398.89999399999999</c:v>
                </c:pt>
                <c:pt idx="140">
                  <c:v>388</c:v>
                </c:pt>
                <c:pt idx="141">
                  <c:v>396.25</c:v>
                </c:pt>
                <c:pt idx="142">
                  <c:v>380</c:v>
                </c:pt>
                <c:pt idx="143">
                  <c:v>363.95001200000002</c:v>
                </c:pt>
                <c:pt idx="144">
                  <c:v>370</c:v>
                </c:pt>
                <c:pt idx="145">
                  <c:v>374.70001200000002</c:v>
                </c:pt>
                <c:pt idx="146">
                  <c:v>366</c:v>
                </c:pt>
                <c:pt idx="147">
                  <c:v>375</c:v>
                </c:pt>
                <c:pt idx="148">
                  <c:v>360</c:v>
                </c:pt>
                <c:pt idx="149">
                  <c:v>354.75</c:v>
                </c:pt>
                <c:pt idx="150">
                  <c:v>374.89999399999999</c:v>
                </c:pt>
                <c:pt idx="151">
                  <c:v>366</c:v>
                </c:pt>
                <c:pt idx="152">
                  <c:v>369.95001200000002</c:v>
                </c:pt>
                <c:pt idx="153">
                  <c:v>356.85000600000001</c:v>
                </c:pt>
                <c:pt idx="154">
                  <c:v>356.95001200000002</c:v>
                </c:pt>
                <c:pt idx="155">
                  <c:v>355</c:v>
                </c:pt>
                <c:pt idx="156">
                  <c:v>330</c:v>
                </c:pt>
                <c:pt idx="157">
                  <c:v>341</c:v>
                </c:pt>
                <c:pt idx="158">
                  <c:v>345.60000600000001</c:v>
                </c:pt>
                <c:pt idx="159">
                  <c:v>331</c:v>
                </c:pt>
                <c:pt idx="160">
                  <c:v>342</c:v>
                </c:pt>
                <c:pt idx="161">
                  <c:v>337</c:v>
                </c:pt>
                <c:pt idx="162">
                  <c:v>336</c:v>
                </c:pt>
                <c:pt idx="163">
                  <c:v>334.95001200000002</c:v>
                </c:pt>
                <c:pt idx="164">
                  <c:v>338.35000600000001</c:v>
                </c:pt>
                <c:pt idx="165">
                  <c:v>334.39999399999999</c:v>
                </c:pt>
                <c:pt idx="166">
                  <c:v>337.10000600000001</c:v>
                </c:pt>
                <c:pt idx="167">
                  <c:v>350</c:v>
                </c:pt>
                <c:pt idx="168">
                  <c:v>341</c:v>
                </c:pt>
                <c:pt idx="169">
                  <c:v>338</c:v>
                </c:pt>
                <c:pt idx="170">
                  <c:v>348</c:v>
                </c:pt>
                <c:pt idx="171">
                  <c:v>348.60000600000001</c:v>
                </c:pt>
                <c:pt idx="172">
                  <c:v>365.79998799999998</c:v>
                </c:pt>
                <c:pt idx="173">
                  <c:v>376</c:v>
                </c:pt>
                <c:pt idx="174">
                  <c:v>348.14999399999999</c:v>
                </c:pt>
                <c:pt idx="175">
                  <c:v>355.89999399999999</c:v>
                </c:pt>
                <c:pt idx="176">
                  <c:v>356.5</c:v>
                </c:pt>
                <c:pt idx="177">
                  <c:v>343</c:v>
                </c:pt>
                <c:pt idx="178">
                  <c:v>339.95001200000002</c:v>
                </c:pt>
                <c:pt idx="179">
                  <c:v>338</c:v>
                </c:pt>
                <c:pt idx="180">
                  <c:v>332</c:v>
                </c:pt>
                <c:pt idx="181">
                  <c:v>329</c:v>
                </c:pt>
                <c:pt idx="182">
                  <c:v>327.95001200000002</c:v>
                </c:pt>
                <c:pt idx="183">
                  <c:v>326</c:v>
                </c:pt>
                <c:pt idx="184">
                  <c:v>327.10000600000001</c:v>
                </c:pt>
                <c:pt idx="185">
                  <c:v>330</c:v>
                </c:pt>
                <c:pt idx="186">
                  <c:v>325</c:v>
                </c:pt>
                <c:pt idx="187">
                  <c:v>336.5</c:v>
                </c:pt>
                <c:pt idx="188">
                  <c:v>329</c:v>
                </c:pt>
                <c:pt idx="189">
                  <c:v>326.95001200000002</c:v>
                </c:pt>
                <c:pt idx="190">
                  <c:v>322.95001200000002</c:v>
                </c:pt>
                <c:pt idx="191">
                  <c:v>325.89999399999999</c:v>
                </c:pt>
                <c:pt idx="192">
                  <c:v>326.10000600000001</c:v>
                </c:pt>
                <c:pt idx="193">
                  <c:v>325.39999399999999</c:v>
                </c:pt>
                <c:pt idx="194">
                  <c:v>315</c:v>
                </c:pt>
                <c:pt idx="195">
                  <c:v>310.5</c:v>
                </c:pt>
                <c:pt idx="196">
                  <c:v>322.79998799999998</c:v>
                </c:pt>
                <c:pt idx="197">
                  <c:v>320.64999399999999</c:v>
                </c:pt>
                <c:pt idx="198">
                  <c:v>315</c:v>
                </c:pt>
                <c:pt idx="199">
                  <c:v>309</c:v>
                </c:pt>
                <c:pt idx="200">
                  <c:v>306</c:v>
                </c:pt>
                <c:pt idx="201">
                  <c:v>308</c:v>
                </c:pt>
                <c:pt idx="202">
                  <c:v>290</c:v>
                </c:pt>
                <c:pt idx="203">
                  <c:v>267.14999399999999</c:v>
                </c:pt>
                <c:pt idx="204">
                  <c:v>249.10000600000001</c:v>
                </c:pt>
                <c:pt idx="205">
                  <c:v>274.5</c:v>
                </c:pt>
                <c:pt idx="206">
                  <c:v>292.75</c:v>
                </c:pt>
                <c:pt idx="207">
                  <c:v>305</c:v>
                </c:pt>
                <c:pt idx="208">
                  <c:v>305.89999399999999</c:v>
                </c:pt>
                <c:pt idx="209">
                  <c:v>303</c:v>
                </c:pt>
                <c:pt idx="210">
                  <c:v>298.14999399999999</c:v>
                </c:pt>
                <c:pt idx="211">
                  <c:v>294.75</c:v>
                </c:pt>
                <c:pt idx="212">
                  <c:v>287.95001200000002</c:v>
                </c:pt>
                <c:pt idx="213">
                  <c:v>290.70001200000002</c:v>
                </c:pt>
                <c:pt idx="214">
                  <c:v>286.95001200000002</c:v>
                </c:pt>
                <c:pt idx="215">
                  <c:v>287.95001200000002</c:v>
                </c:pt>
                <c:pt idx="216">
                  <c:v>281.79998799999998</c:v>
                </c:pt>
                <c:pt idx="217">
                  <c:v>277.64999399999999</c:v>
                </c:pt>
                <c:pt idx="218">
                  <c:v>274.89999399999999</c:v>
                </c:pt>
                <c:pt idx="219">
                  <c:v>281</c:v>
                </c:pt>
                <c:pt idx="220">
                  <c:v>273.45001200000002</c:v>
                </c:pt>
                <c:pt idx="221">
                  <c:v>282.5</c:v>
                </c:pt>
                <c:pt idx="222">
                  <c:v>276.5</c:v>
                </c:pt>
                <c:pt idx="223">
                  <c:v>276.85000600000001</c:v>
                </c:pt>
                <c:pt idx="224">
                  <c:v>275.45001200000002</c:v>
                </c:pt>
                <c:pt idx="225">
                  <c:v>274.70001200000002</c:v>
                </c:pt>
                <c:pt idx="226">
                  <c:v>273</c:v>
                </c:pt>
                <c:pt idx="227">
                  <c:v>250</c:v>
                </c:pt>
                <c:pt idx="228">
                  <c:v>235.550003</c:v>
                </c:pt>
                <c:pt idx="229">
                  <c:v>223.800003</c:v>
                </c:pt>
                <c:pt idx="230">
                  <c:v>219</c:v>
                </c:pt>
                <c:pt idx="231">
                  <c:v>202.050003</c:v>
                </c:pt>
                <c:pt idx="232">
                  <c:v>191.949997</c:v>
                </c:pt>
                <c:pt idx="233">
                  <c:v>182.35000600000001</c:v>
                </c:pt>
                <c:pt idx="234">
                  <c:v>173.25</c:v>
                </c:pt>
                <c:pt idx="235">
                  <c:v>173.25</c:v>
                </c:pt>
                <c:pt idx="236">
                  <c:v>172.800003</c:v>
                </c:pt>
                <c:pt idx="237">
                  <c:v>164.199997</c:v>
                </c:pt>
                <c:pt idx="238">
                  <c:v>156</c:v>
                </c:pt>
                <c:pt idx="239">
                  <c:v>148.199997</c:v>
                </c:pt>
                <c:pt idx="240">
                  <c:v>140.800003</c:v>
                </c:pt>
                <c:pt idx="241">
                  <c:v>142</c:v>
                </c:pt>
                <c:pt idx="242">
                  <c:v>152.449997</c:v>
                </c:pt>
                <c:pt idx="243">
                  <c:v>158.25</c:v>
                </c:pt>
                <c:pt idx="244">
                  <c:v>166.89999399999999</c:v>
                </c:pt>
                <c:pt idx="245">
                  <c:v>177</c:v>
                </c:pt>
                <c:pt idx="246">
                  <c:v>156.050003</c:v>
                </c:pt>
                <c:pt idx="247">
                  <c:v>150.10000600000001</c:v>
                </c:pt>
                <c:pt idx="248">
                  <c:v>142.050003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27-4F7B-95AA-B64E6495E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7262239"/>
        <c:axId val="1917261407"/>
      </c:lineChart>
      <c:dateAx>
        <c:axId val="191726223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261407"/>
        <c:crosses val="autoZero"/>
        <c:auto val="1"/>
        <c:lblOffset val="100"/>
        <c:baseTimeUnit val="days"/>
      </c:dateAx>
      <c:valAx>
        <c:axId val="191726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262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83820</xdr:colOff>
      <xdr:row>8</xdr:row>
      <xdr:rowOff>53340</xdr:rowOff>
    </xdr:from>
    <xdr:to>
      <xdr:col>24</xdr:col>
      <xdr:colOff>38100</xdr:colOff>
      <xdr:row>28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944652-A8DC-2296-9309-A81A9D0A6F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950446-F045-42C8-9EAE-C04A65102A4D}" name="Table2" displayName="Table2" ref="A1:O1048576" totalsRowShown="0">
  <autoFilter ref="A1:O1048576" xr:uid="{4D950446-F045-42C8-9EAE-C04A65102A4D}"/>
  <tableColumns count="15">
    <tableColumn id="1" xr3:uid="{496FCFB6-AD81-4F7B-B44D-F0B2F85C639B}" name="Date"/>
    <tableColumn id="2" xr3:uid="{8B95438B-A655-490A-AF81-68D72F89F7BF}" name="ADANI POWER"/>
    <tableColumn id="3" xr3:uid="{75C3BA5A-B092-4E39-A6D9-D1F00C67A71E}" name="AP Open"/>
    <tableColumn id="4" xr3:uid="{5139D88A-0C5E-4630-83C4-5D5161B38B7A}" name="AP HIGH"/>
    <tableColumn id="5" xr3:uid="{F9E0F47C-A24B-4E7C-AF70-4165E9F91FFB}" name="AP Low"/>
    <tableColumn id="6" xr3:uid="{AD9170FB-CEB0-4D3B-951C-7A4FEC75A63F}" name="AP Close"/>
    <tableColumn id="7" xr3:uid="{BCD6A2E1-D89B-41FA-81B9-B58110889626}" name="AP Adj Close"/>
    <tableColumn id="8" xr3:uid="{68D069BB-2C77-4CB8-96B8-35FBE6BAFB4E}" name="AP Volume"/>
    <tableColumn id="9" xr3:uid="{F4F73080-93E4-40EF-86B7-FAEB6E117A4B}" name="HERO MOTOR CO."/>
    <tableColumn id="10" xr3:uid="{58456368-DAF6-48D9-A21A-28F05F7203C8}" name="HMC Open"/>
    <tableColumn id="11" xr3:uid="{51CF8C09-5B0A-4AA3-A0D4-CD242C0FB775}" name="HMC High"/>
    <tableColumn id="12" xr3:uid="{DBD6B06C-BD2E-4F51-97E4-B38CE0988052}" name="HMC Low"/>
    <tableColumn id="13" xr3:uid="{7F34AB5B-6C0B-41B8-A718-D11ECF68DFC9}" name="HMC Close"/>
    <tableColumn id="14" xr3:uid="{338A1C27-E09B-4125-8828-2E952211DC76}" name="HMC Adj Close"/>
    <tableColumn id="15" xr3:uid="{E9E270A7-919B-42F9-86DA-5BDED236BD24}" name="HMC Volum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50"/>
  <sheetViews>
    <sheetView tabSelected="1" topLeftCell="C34" zoomScaleNormal="100" workbookViewId="0">
      <selection activeCell="U4" sqref="U4"/>
    </sheetView>
  </sheetViews>
  <sheetFormatPr defaultRowHeight="14.4" x14ac:dyDescent="0.3"/>
  <cols>
    <col min="1" max="1" width="13.109375" customWidth="1"/>
    <col min="2" max="2" width="15.21875" customWidth="1"/>
    <col min="3" max="3" width="10.21875" customWidth="1"/>
    <col min="4" max="4" width="9.88671875" customWidth="1"/>
    <col min="5" max="5" width="9.109375" customWidth="1"/>
    <col min="6" max="6" width="10.109375" customWidth="1"/>
    <col min="7" max="7" width="13.44140625" customWidth="1"/>
    <col min="8" max="8" width="12.21875" customWidth="1"/>
    <col min="9" max="9" width="10.44140625" customWidth="1"/>
    <col min="10" max="10" width="12" customWidth="1"/>
    <col min="11" max="11" width="11.21875" customWidth="1"/>
    <col min="12" max="12" width="10.88671875" customWidth="1"/>
    <col min="13" max="13" width="11.88671875" customWidth="1"/>
    <col min="14" max="14" width="15.21875" customWidth="1"/>
    <col min="15" max="15" width="14" customWidth="1"/>
    <col min="18" max="18" width="24.5546875" customWidth="1"/>
    <col min="19" max="19" width="13" customWidth="1"/>
    <col min="26" max="26" width="10.6640625" style="6" customWidth="1"/>
    <col min="27" max="27" width="12" style="6" customWidth="1"/>
    <col min="28" max="28" width="8.88671875" style="6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20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Z1" s="7" t="s">
        <v>0</v>
      </c>
      <c r="AA1" s="7" t="str">
        <f>R6</f>
        <v>HMC Close</v>
      </c>
      <c r="AB1" s="7" t="str">
        <f>R7</f>
        <v>AP Open</v>
      </c>
    </row>
    <row r="2" spans="1:28" x14ac:dyDescent="0.3">
      <c r="A2" s="1">
        <v>44620</v>
      </c>
      <c r="C2">
        <v>122</v>
      </c>
      <c r="D2">
        <v>126.75</v>
      </c>
      <c r="E2">
        <v>119.050003</v>
      </c>
      <c r="F2">
        <v>123.75</v>
      </c>
      <c r="G2">
        <v>123.75</v>
      </c>
      <c r="H2">
        <v>63056418</v>
      </c>
      <c r="J2">
        <v>2527</v>
      </c>
      <c r="K2">
        <v>2546.9499510000001</v>
      </c>
      <c r="L2">
        <v>2489.0500489999999</v>
      </c>
      <c r="M2">
        <v>2535.4499510000001</v>
      </c>
      <c r="N2">
        <v>2409.4184570000002</v>
      </c>
      <c r="O2">
        <v>1008620</v>
      </c>
      <c r="Z2" s="5">
        <v>44620</v>
      </c>
      <c r="AA2" s="6">
        <f>INDEX($A:$P,MATCH(Z2,$A:$A,0),MATCH($AA$1,$A$1:$P$1,0))</f>
        <v>2535.4499510000001</v>
      </c>
      <c r="AB2" s="6">
        <f>INDEX($A:$P,MATCH(Z2,$A:$A,0),MATCH($AB$1,$A$1:$P$1,0))</f>
        <v>122</v>
      </c>
    </row>
    <row r="3" spans="1:28" x14ac:dyDescent="0.3">
      <c r="A3" s="1">
        <v>44622</v>
      </c>
      <c r="C3">
        <v>123.349998</v>
      </c>
      <c r="D3">
        <v>125.449997</v>
      </c>
      <c r="E3">
        <v>121.550003</v>
      </c>
      <c r="F3">
        <v>123.099998</v>
      </c>
      <c r="G3">
        <v>123.099998</v>
      </c>
      <c r="H3">
        <v>37990829</v>
      </c>
      <c r="J3">
        <v>2498</v>
      </c>
      <c r="K3">
        <v>2498.5</v>
      </c>
      <c r="L3">
        <v>2421</v>
      </c>
      <c r="M3">
        <v>2426.3000489999999</v>
      </c>
      <c r="N3">
        <v>2305.694336</v>
      </c>
      <c r="O3">
        <v>855090</v>
      </c>
      <c r="Z3" s="5">
        <v>44622</v>
      </c>
      <c r="AA3" s="6">
        <f>INDEX($A:$P,MATCH(Z3,$A:$A,0),MATCH($AA$1,$A$1:$P$1,0))</f>
        <v>2426.3000489999999</v>
      </c>
      <c r="AB3" s="6">
        <f>INDEX($A:$P,MATCH(Z3,$A:$A,0),MATCH($AB$1,$A$1:$P$1,0))</f>
        <v>123.349998</v>
      </c>
    </row>
    <row r="4" spans="1:28" x14ac:dyDescent="0.3">
      <c r="A4" s="1">
        <v>44623</v>
      </c>
      <c r="C4">
        <v>125.25</v>
      </c>
      <c r="D4">
        <v>127.25</v>
      </c>
      <c r="E4">
        <v>121.800003</v>
      </c>
      <c r="F4">
        <v>122.699997</v>
      </c>
      <c r="G4">
        <v>122.699997</v>
      </c>
      <c r="H4">
        <v>29879343</v>
      </c>
      <c r="J4">
        <v>2441</v>
      </c>
      <c r="K4">
        <v>2468</v>
      </c>
      <c r="L4">
        <v>2405</v>
      </c>
      <c r="M4">
        <v>2417.3999020000001</v>
      </c>
      <c r="N4">
        <v>2297.236328</v>
      </c>
      <c r="O4">
        <v>831912</v>
      </c>
      <c r="Z4" s="5">
        <v>44623</v>
      </c>
      <c r="AA4" s="6">
        <f>INDEX($A:$P,MATCH(Z4,$A:$A,0),MATCH($AA$1,$A$1:$P$1,0))</f>
        <v>2417.3999020000001</v>
      </c>
      <c r="AB4" s="6">
        <f>INDEX($A:$P,MATCH(Z4,$A:$A,0),MATCH($AB$1,$A$1:$P$1,0))</f>
        <v>125.25</v>
      </c>
    </row>
    <row r="5" spans="1:28" x14ac:dyDescent="0.3">
      <c r="A5" s="1">
        <v>44624</v>
      </c>
      <c r="C5">
        <v>122</v>
      </c>
      <c r="D5">
        <v>122.650002</v>
      </c>
      <c r="E5">
        <v>117.199997</v>
      </c>
      <c r="F5">
        <v>119.75</v>
      </c>
      <c r="G5">
        <v>119.75</v>
      </c>
      <c r="H5">
        <v>37730845</v>
      </c>
      <c r="J5">
        <v>2400</v>
      </c>
      <c r="K5">
        <v>2403.6000979999999</v>
      </c>
      <c r="L5">
        <v>2301.1000979999999</v>
      </c>
      <c r="M5">
        <v>2311.3000489999999</v>
      </c>
      <c r="N5">
        <v>2196.4106449999999</v>
      </c>
      <c r="O5">
        <v>1266961</v>
      </c>
      <c r="R5" s="3" t="s">
        <v>14</v>
      </c>
      <c r="S5" s="4" t="s">
        <v>15</v>
      </c>
      <c r="Z5" s="5">
        <v>44624</v>
      </c>
      <c r="AA5" s="6">
        <f>INDEX($A:$P,MATCH(Z5,$A:$A,0),MATCH($AA$1,$A$1:$P$1,0))</f>
        <v>2311.3000489999999</v>
      </c>
      <c r="AB5" s="6">
        <f>INDEX($A:$P,MATCH(Z5,$A:$A,0),MATCH($AB$1,$A$1:$P$1,0))</f>
        <v>122</v>
      </c>
    </row>
    <row r="6" spans="1:28" x14ac:dyDescent="0.3">
      <c r="A6" s="1">
        <v>44627</v>
      </c>
      <c r="C6">
        <v>116</v>
      </c>
      <c r="D6">
        <v>118.449997</v>
      </c>
      <c r="E6">
        <v>115.349998</v>
      </c>
      <c r="F6">
        <v>116.449997</v>
      </c>
      <c r="G6">
        <v>116.449997</v>
      </c>
      <c r="H6">
        <v>22319366</v>
      </c>
      <c r="J6">
        <v>2289.8000489999999</v>
      </c>
      <c r="K6">
        <v>2289.8000489999999</v>
      </c>
      <c r="L6">
        <v>2170.1000979999999</v>
      </c>
      <c r="M6">
        <v>2198.6999510000001</v>
      </c>
      <c r="N6">
        <v>2089.4077149999998</v>
      </c>
      <c r="O6">
        <v>1284637</v>
      </c>
      <c r="R6" s="11" t="s">
        <v>11</v>
      </c>
      <c r="S6" t="str">
        <f>LEFT(R6,FIND(" ",R6,1)-1)</f>
        <v>HMC</v>
      </c>
      <c r="Z6" s="5">
        <v>44627</v>
      </c>
      <c r="AA6" s="6">
        <f>INDEX($A:$P,MATCH(Z6,$A:$A,0),MATCH($AA$1,$A$1:$P$1,0))</f>
        <v>2198.6999510000001</v>
      </c>
      <c r="AB6" s="6">
        <f>INDEX($A:$P,MATCH(Z6,$A:$A,0),MATCH($AB$1,$A$1:$P$1,0))</f>
        <v>116</v>
      </c>
    </row>
    <row r="7" spans="1:28" x14ac:dyDescent="0.3">
      <c r="A7" s="1">
        <v>44628</v>
      </c>
      <c r="C7">
        <v>118.400002</v>
      </c>
      <c r="D7">
        <v>121.449997</v>
      </c>
      <c r="E7">
        <v>117.349998</v>
      </c>
      <c r="F7">
        <v>118.699997</v>
      </c>
      <c r="G7">
        <v>118.699997</v>
      </c>
      <c r="H7">
        <v>27745685</v>
      </c>
      <c r="J7">
        <v>2181</v>
      </c>
      <c r="K7">
        <v>2259.25</v>
      </c>
      <c r="L7">
        <v>2146.8500979999999</v>
      </c>
      <c r="M7">
        <v>2251.6499020000001</v>
      </c>
      <c r="N7">
        <v>2139.7253420000002</v>
      </c>
      <c r="O7">
        <v>1081826</v>
      </c>
      <c r="R7" s="12" t="s">
        <v>2</v>
      </c>
      <c r="Z7" s="5">
        <v>44628</v>
      </c>
      <c r="AA7" s="6">
        <f>INDEX($A:$P,MATCH(Z7,$A:$A,0),MATCH($AA$1,$A$1:$P$1,0))</f>
        <v>2251.6499020000001</v>
      </c>
      <c r="AB7" s="6">
        <f>INDEX($A:$P,MATCH(Z7,$A:$A,0),MATCH($AB$1,$A$1:$P$1,0))</f>
        <v>118.400002</v>
      </c>
    </row>
    <row r="8" spans="1:28" x14ac:dyDescent="0.3">
      <c r="A8" s="1">
        <v>44629</v>
      </c>
      <c r="C8">
        <v>121.300003</v>
      </c>
      <c r="D8">
        <v>122.699997</v>
      </c>
      <c r="E8">
        <v>119.599998</v>
      </c>
      <c r="F8">
        <v>121.300003</v>
      </c>
      <c r="G8">
        <v>121.300003</v>
      </c>
      <c r="H8">
        <v>21234389</v>
      </c>
      <c r="J8">
        <v>2266</v>
      </c>
      <c r="K8">
        <v>2310.6000979999999</v>
      </c>
      <c r="L8">
        <v>2235.1499020000001</v>
      </c>
      <c r="M8">
        <v>2290.5</v>
      </c>
      <c r="N8">
        <v>2176.6445309999999</v>
      </c>
      <c r="O8">
        <v>670764</v>
      </c>
      <c r="Z8" s="5">
        <v>44629</v>
      </c>
      <c r="AA8" s="6">
        <f>INDEX($A:$P,MATCH(Z8,$A:$A,0),MATCH($AA$1,$A$1:$P$1,0))</f>
        <v>2290.5</v>
      </c>
      <c r="AB8" s="6">
        <f>INDEX($A:$P,MATCH(Z8,$A:$A,0),MATCH($AB$1,$A$1:$P$1,0))</f>
        <v>121.300003</v>
      </c>
    </row>
    <row r="9" spans="1:28" x14ac:dyDescent="0.3">
      <c r="A9" s="1">
        <v>44630</v>
      </c>
      <c r="C9">
        <v>125</v>
      </c>
      <c r="D9">
        <v>125.699997</v>
      </c>
      <c r="E9">
        <v>121.349998</v>
      </c>
      <c r="F9">
        <v>122.5</v>
      </c>
      <c r="G9">
        <v>122.5</v>
      </c>
      <c r="H9">
        <v>20823339</v>
      </c>
      <c r="J9">
        <v>2350</v>
      </c>
      <c r="K9">
        <v>2410.4499510000001</v>
      </c>
      <c r="L9">
        <v>2312.0500489999999</v>
      </c>
      <c r="M9">
        <v>2320.75</v>
      </c>
      <c r="N9">
        <v>2205.3908689999998</v>
      </c>
      <c r="O9">
        <v>716132</v>
      </c>
      <c r="Z9" s="5">
        <v>44630</v>
      </c>
      <c r="AA9" s="6">
        <f>INDEX($A:$P,MATCH(Z9,$A:$A,0),MATCH($AA$1,$A$1:$P$1,0))</f>
        <v>2320.75</v>
      </c>
      <c r="AB9" s="6">
        <f>INDEX($A:$P,MATCH(Z9,$A:$A,0),MATCH($AB$1,$A$1:$P$1,0))</f>
        <v>125</v>
      </c>
    </row>
    <row r="10" spans="1:28" x14ac:dyDescent="0.3">
      <c r="A10" s="1">
        <v>44631</v>
      </c>
      <c r="C10">
        <v>122</v>
      </c>
      <c r="D10">
        <v>123.5</v>
      </c>
      <c r="E10">
        <v>121.099998</v>
      </c>
      <c r="F10">
        <v>121.800003</v>
      </c>
      <c r="G10">
        <v>121.800003</v>
      </c>
      <c r="H10">
        <v>14362421</v>
      </c>
      <c r="J10">
        <v>2318</v>
      </c>
      <c r="K10">
        <v>2345</v>
      </c>
      <c r="L10">
        <v>2287.1000979999999</v>
      </c>
      <c r="M10">
        <v>2331.1999510000001</v>
      </c>
      <c r="N10">
        <v>2215.321289</v>
      </c>
      <c r="O10">
        <v>467988</v>
      </c>
      <c r="Z10" s="5">
        <v>44631</v>
      </c>
      <c r="AA10" s="6">
        <f>INDEX($A:$P,MATCH(Z10,$A:$A,0),MATCH($AA$1,$A$1:$P$1,0))</f>
        <v>2331.1999510000001</v>
      </c>
      <c r="AB10" s="6">
        <f>INDEX($A:$P,MATCH(Z10,$A:$A,0),MATCH($AB$1,$A$1:$P$1,0))</f>
        <v>122</v>
      </c>
    </row>
    <row r="11" spans="1:28" x14ac:dyDescent="0.3">
      <c r="A11" s="1">
        <v>44634</v>
      </c>
      <c r="C11">
        <v>122.550003</v>
      </c>
      <c r="D11">
        <v>123.099998</v>
      </c>
      <c r="E11">
        <v>120.5</v>
      </c>
      <c r="F11">
        <v>122.150002</v>
      </c>
      <c r="G11">
        <v>122.150002</v>
      </c>
      <c r="H11">
        <v>14143340</v>
      </c>
      <c r="J11">
        <v>2330</v>
      </c>
      <c r="K11">
        <v>2351</v>
      </c>
      <c r="L11">
        <v>2282.3000489999999</v>
      </c>
      <c r="M11">
        <v>2341.8999020000001</v>
      </c>
      <c r="N11">
        <v>2225.4892580000001</v>
      </c>
      <c r="O11">
        <v>382149</v>
      </c>
      <c r="Z11" s="5">
        <v>44634</v>
      </c>
      <c r="AA11" s="6">
        <f>INDEX($A:$P,MATCH(Z11,$A:$A,0),MATCH($AA$1,$A$1:$P$1,0))</f>
        <v>2341.8999020000001</v>
      </c>
      <c r="AB11" s="6">
        <f>INDEX($A:$P,MATCH(Z11,$A:$A,0),MATCH($AB$1,$A$1:$P$1,0))</f>
        <v>122.550003</v>
      </c>
    </row>
    <row r="12" spans="1:28" x14ac:dyDescent="0.3">
      <c r="A12" s="1">
        <v>44635</v>
      </c>
      <c r="C12">
        <v>122.900002</v>
      </c>
      <c r="D12">
        <v>127.199997</v>
      </c>
      <c r="E12">
        <v>121.5</v>
      </c>
      <c r="F12">
        <v>122.300003</v>
      </c>
      <c r="G12">
        <v>122.300003</v>
      </c>
      <c r="H12">
        <v>27067023</v>
      </c>
      <c r="J12">
        <v>2345</v>
      </c>
      <c r="K12">
        <v>2380</v>
      </c>
      <c r="L12">
        <v>2300</v>
      </c>
      <c r="M12">
        <v>2318.3999020000001</v>
      </c>
      <c r="N12">
        <v>2203.157471</v>
      </c>
      <c r="O12">
        <v>612285</v>
      </c>
      <c r="T12" s="2"/>
      <c r="Z12" s="5">
        <v>44635</v>
      </c>
      <c r="AA12" s="6">
        <f>INDEX($A:$P,MATCH(Z12,$A:$A,0),MATCH($AA$1,$A$1:$P$1,0))</f>
        <v>2318.3999020000001</v>
      </c>
      <c r="AB12" s="6">
        <f>INDEX($A:$P,MATCH(Z12,$A:$A,0),MATCH($AB$1,$A$1:$P$1,0))</f>
        <v>122.900002</v>
      </c>
    </row>
    <row r="13" spans="1:28" x14ac:dyDescent="0.3">
      <c r="A13" s="1">
        <v>44636</v>
      </c>
      <c r="C13">
        <v>124.300003</v>
      </c>
      <c r="D13">
        <v>125</v>
      </c>
      <c r="E13">
        <v>122.300003</v>
      </c>
      <c r="F13">
        <v>122.900002</v>
      </c>
      <c r="G13">
        <v>122.900002</v>
      </c>
      <c r="H13">
        <v>10882357</v>
      </c>
      <c r="J13">
        <v>2350.1999510000001</v>
      </c>
      <c r="K13">
        <v>2376.5</v>
      </c>
      <c r="L13">
        <v>2335</v>
      </c>
      <c r="M13">
        <v>2369.5</v>
      </c>
      <c r="N13">
        <v>2251.7172850000002</v>
      </c>
      <c r="O13">
        <v>493507</v>
      </c>
      <c r="Z13" s="5">
        <v>44636</v>
      </c>
      <c r="AA13" s="6">
        <f>INDEX($A:$P,MATCH(Z13,$A:$A,0),MATCH($AA$1,$A$1:$P$1,0))</f>
        <v>2369.5</v>
      </c>
      <c r="AB13" s="6">
        <f>INDEX($A:$P,MATCH(Z13,$A:$A,0),MATCH($AB$1,$A$1:$P$1,0))</f>
        <v>124.300003</v>
      </c>
    </row>
    <row r="14" spans="1:28" x14ac:dyDescent="0.3">
      <c r="A14" s="1">
        <v>44637</v>
      </c>
      <c r="C14">
        <v>125.300003</v>
      </c>
      <c r="D14">
        <v>127.650002</v>
      </c>
      <c r="E14">
        <v>123.699997</v>
      </c>
      <c r="F14">
        <v>125.099998</v>
      </c>
      <c r="G14">
        <v>125.099998</v>
      </c>
      <c r="H14">
        <v>28165037</v>
      </c>
      <c r="J14">
        <v>2383</v>
      </c>
      <c r="K14">
        <v>2429.25</v>
      </c>
      <c r="L14">
        <v>2375</v>
      </c>
      <c r="M14">
        <v>2419.8999020000001</v>
      </c>
      <c r="N14">
        <v>2299.6120609999998</v>
      </c>
      <c r="O14">
        <v>781757</v>
      </c>
      <c r="Z14" s="5">
        <v>44637</v>
      </c>
      <c r="AA14" s="6">
        <f>INDEX($A:$P,MATCH(Z14,$A:$A,0),MATCH($AA$1,$A$1:$P$1,0))</f>
        <v>2419.8999020000001</v>
      </c>
      <c r="AB14" s="6">
        <f>INDEX($A:$P,MATCH(Z14,$A:$A,0),MATCH($AB$1,$A$1:$P$1,0))</f>
        <v>125.300003</v>
      </c>
    </row>
    <row r="15" spans="1:28" x14ac:dyDescent="0.3">
      <c r="A15" s="1">
        <v>44641</v>
      </c>
      <c r="C15">
        <v>125.849998</v>
      </c>
      <c r="D15">
        <v>126.900002</v>
      </c>
      <c r="E15">
        <v>124.099998</v>
      </c>
      <c r="F15">
        <v>124.550003</v>
      </c>
      <c r="G15">
        <v>124.550003</v>
      </c>
      <c r="H15">
        <v>14158100</v>
      </c>
      <c r="J15">
        <v>2434.75</v>
      </c>
      <c r="K15">
        <v>2447.9499510000001</v>
      </c>
      <c r="L15">
        <v>2380</v>
      </c>
      <c r="M15">
        <v>2391.5500489999999</v>
      </c>
      <c r="N15">
        <v>2272.6713869999999</v>
      </c>
      <c r="O15">
        <v>516893</v>
      </c>
      <c r="Z15" s="5">
        <v>44641</v>
      </c>
      <c r="AA15" s="6">
        <f>INDEX($A:$P,MATCH(Z15,$A:$A,0),MATCH($AA$1,$A$1:$P$1,0))</f>
        <v>2391.5500489999999</v>
      </c>
      <c r="AB15" s="6">
        <f>INDEX($A:$P,MATCH(Z15,$A:$A,0),MATCH($AB$1,$A$1:$P$1,0))</f>
        <v>125.849998</v>
      </c>
    </row>
    <row r="16" spans="1:28" x14ac:dyDescent="0.3">
      <c r="A16" s="1">
        <v>44642</v>
      </c>
      <c r="C16">
        <v>124.5</v>
      </c>
      <c r="D16">
        <v>124.75</v>
      </c>
      <c r="E16">
        <v>122.300003</v>
      </c>
      <c r="F16">
        <v>123.75</v>
      </c>
      <c r="G16">
        <v>123.75</v>
      </c>
      <c r="H16">
        <v>11802958</v>
      </c>
      <c r="J16">
        <v>2405</v>
      </c>
      <c r="K16">
        <v>2435</v>
      </c>
      <c r="L16">
        <v>2345.0500489999999</v>
      </c>
      <c r="M16">
        <v>2423.6499020000001</v>
      </c>
      <c r="N16">
        <v>2303.1757809999999</v>
      </c>
      <c r="O16">
        <v>470208</v>
      </c>
      <c r="Z16" s="5">
        <v>44642</v>
      </c>
      <c r="AA16" s="6">
        <f>INDEX($A:$P,MATCH(Z16,$A:$A,0),MATCH($AA$1,$A$1:$P$1,0))</f>
        <v>2423.6499020000001</v>
      </c>
      <c r="AB16" s="6">
        <f>INDEX($A:$P,MATCH(Z16,$A:$A,0),MATCH($AB$1,$A$1:$P$1,0))</f>
        <v>124.5</v>
      </c>
    </row>
    <row r="17" spans="1:28" x14ac:dyDescent="0.3">
      <c r="A17" s="1">
        <v>44643</v>
      </c>
      <c r="C17">
        <v>124.699997</v>
      </c>
      <c r="D17">
        <v>134.39999399999999</v>
      </c>
      <c r="E17">
        <v>124.25</v>
      </c>
      <c r="F17">
        <v>130.199997</v>
      </c>
      <c r="G17">
        <v>130.199997</v>
      </c>
      <c r="H17">
        <v>66120008</v>
      </c>
      <c r="J17">
        <v>2423</v>
      </c>
      <c r="K17">
        <v>2439.8000489999999</v>
      </c>
      <c r="L17">
        <v>2327.1999510000001</v>
      </c>
      <c r="M17">
        <v>2394.6499020000001</v>
      </c>
      <c r="N17">
        <v>2275.6171880000002</v>
      </c>
      <c r="O17">
        <v>1137046</v>
      </c>
      <c r="Z17" s="5">
        <v>44643</v>
      </c>
      <c r="AA17" s="6">
        <f>INDEX($A:$P,MATCH(Z17,$A:$A,0),MATCH($AA$1,$A$1:$P$1,0))</f>
        <v>2394.6499020000001</v>
      </c>
      <c r="AB17" s="6">
        <f>INDEX($A:$P,MATCH(Z17,$A:$A,0),MATCH($AB$1,$A$1:$P$1,0))</f>
        <v>124.699997</v>
      </c>
    </row>
    <row r="18" spans="1:28" x14ac:dyDescent="0.3">
      <c r="A18" s="1">
        <v>44644</v>
      </c>
      <c r="C18">
        <v>130.699997</v>
      </c>
      <c r="D18">
        <v>134.85000600000001</v>
      </c>
      <c r="E18">
        <v>130.199997</v>
      </c>
      <c r="F18">
        <v>132.14999399999999</v>
      </c>
      <c r="G18">
        <v>132.14999399999999</v>
      </c>
      <c r="H18">
        <v>25846110</v>
      </c>
      <c r="J18">
        <v>2361</v>
      </c>
      <c r="K18">
        <v>2427.25</v>
      </c>
      <c r="L18">
        <v>2333</v>
      </c>
      <c r="M18">
        <v>2412.1499020000001</v>
      </c>
      <c r="N18">
        <v>2292.2475589999999</v>
      </c>
      <c r="O18">
        <v>692836</v>
      </c>
      <c r="Z18" s="5">
        <v>44644</v>
      </c>
      <c r="AA18" s="6">
        <f>INDEX($A:$P,MATCH(Z18,$A:$A,0),MATCH($AA$1,$A$1:$P$1,0))</f>
        <v>2412.1499020000001</v>
      </c>
      <c r="AB18" s="6">
        <f>INDEX($A:$P,MATCH(Z18,$A:$A,0),MATCH($AB$1,$A$1:$P$1,0))</f>
        <v>130.699997</v>
      </c>
    </row>
    <row r="19" spans="1:28" x14ac:dyDescent="0.3">
      <c r="A19" s="1">
        <v>44645</v>
      </c>
      <c r="C19">
        <v>133.449997</v>
      </c>
      <c r="D19">
        <v>144.89999399999999</v>
      </c>
      <c r="E19">
        <v>132.60000600000001</v>
      </c>
      <c r="F19">
        <v>143.199997</v>
      </c>
      <c r="G19">
        <v>143.199997</v>
      </c>
      <c r="H19">
        <v>102500073</v>
      </c>
      <c r="J19">
        <v>2420</v>
      </c>
      <c r="K19">
        <v>2438</v>
      </c>
      <c r="L19">
        <v>2366.75</v>
      </c>
      <c r="M19">
        <v>2378.3999020000001</v>
      </c>
      <c r="N19">
        <v>2260.1748050000001</v>
      </c>
      <c r="O19">
        <v>467568</v>
      </c>
      <c r="Z19" s="5">
        <v>44645</v>
      </c>
      <c r="AA19" s="6">
        <f>INDEX($A:$P,MATCH(Z19,$A:$A,0),MATCH($AA$1,$A$1:$P$1,0))</f>
        <v>2378.3999020000001</v>
      </c>
      <c r="AB19" s="6">
        <f>INDEX($A:$P,MATCH(Z19,$A:$A,0),MATCH($AB$1,$A$1:$P$1,0))</f>
        <v>133.449997</v>
      </c>
    </row>
    <row r="20" spans="1:28" x14ac:dyDescent="0.3">
      <c r="A20" s="1">
        <v>44648</v>
      </c>
      <c r="C20">
        <v>146</v>
      </c>
      <c r="D20">
        <v>153.25</v>
      </c>
      <c r="E20">
        <v>145.050003</v>
      </c>
      <c r="F20">
        <v>152.25</v>
      </c>
      <c r="G20">
        <v>152.25</v>
      </c>
      <c r="H20">
        <v>90954944</v>
      </c>
      <c r="J20">
        <v>2370</v>
      </c>
      <c r="K20">
        <v>2397.8500979999999</v>
      </c>
      <c r="L20">
        <v>2349</v>
      </c>
      <c r="M20">
        <v>2377.9499510000001</v>
      </c>
      <c r="N20">
        <v>2259.7475589999999</v>
      </c>
      <c r="O20">
        <v>493636</v>
      </c>
      <c r="Z20" s="5">
        <v>44648</v>
      </c>
      <c r="AA20" s="6">
        <f>INDEX($A:$P,MATCH(Z20,$A:$A,0),MATCH($AA$1,$A$1:$P$1,0))</f>
        <v>2377.9499510000001</v>
      </c>
      <c r="AB20" s="6">
        <f>INDEX($A:$P,MATCH(Z20,$A:$A,0),MATCH($AB$1,$A$1:$P$1,0))</f>
        <v>146</v>
      </c>
    </row>
    <row r="21" spans="1:28" x14ac:dyDescent="0.3">
      <c r="A21" s="1">
        <v>44649</v>
      </c>
      <c r="C21">
        <v>154.64999399999999</v>
      </c>
      <c r="D21">
        <v>181.39999399999999</v>
      </c>
      <c r="E21">
        <v>154</v>
      </c>
      <c r="F21">
        <v>173.550003</v>
      </c>
      <c r="G21">
        <v>173.550003</v>
      </c>
      <c r="H21">
        <v>242199873</v>
      </c>
      <c r="J21">
        <v>2385</v>
      </c>
      <c r="K21">
        <v>2401</v>
      </c>
      <c r="L21">
        <v>2154.0500489999999</v>
      </c>
      <c r="M21">
        <v>2210.6499020000001</v>
      </c>
      <c r="N21">
        <v>2100.7634280000002</v>
      </c>
      <c r="O21">
        <v>2475877</v>
      </c>
      <c r="Z21" s="5">
        <v>44649</v>
      </c>
      <c r="AA21" s="6">
        <f>INDEX($A:$P,MATCH(Z21,$A:$A,0),MATCH($AA$1,$A$1:$P$1,0))</f>
        <v>2210.6499020000001</v>
      </c>
      <c r="AB21" s="6">
        <f>INDEX($A:$P,MATCH(Z21,$A:$A,0),MATCH($AB$1,$A$1:$P$1,0))</f>
        <v>154.64999399999999</v>
      </c>
    </row>
    <row r="22" spans="1:28" x14ac:dyDescent="0.3">
      <c r="A22" s="1">
        <v>44650</v>
      </c>
      <c r="C22">
        <v>177</v>
      </c>
      <c r="D22">
        <v>178.89999399999999</v>
      </c>
      <c r="E22">
        <v>164</v>
      </c>
      <c r="F22">
        <v>171.5</v>
      </c>
      <c r="G22">
        <v>171.5</v>
      </c>
      <c r="H22">
        <v>132769353</v>
      </c>
      <c r="J22">
        <v>2250</v>
      </c>
      <c r="K22">
        <v>2281</v>
      </c>
      <c r="L22">
        <v>2226.3999020000001</v>
      </c>
      <c r="M22">
        <v>2271.6499020000001</v>
      </c>
      <c r="N22">
        <v>2158.7312010000001</v>
      </c>
      <c r="O22">
        <v>3115035</v>
      </c>
      <c r="Z22" s="5">
        <v>44650</v>
      </c>
      <c r="AA22" s="6">
        <f>INDEX($A:$P,MATCH(Z22,$A:$A,0),MATCH($AA$1,$A$1:$P$1,0))</f>
        <v>2271.6499020000001</v>
      </c>
      <c r="AB22" s="6">
        <f>INDEX($A:$P,MATCH(Z22,$A:$A,0),MATCH($AB$1,$A$1:$P$1,0))</f>
        <v>177</v>
      </c>
    </row>
    <row r="23" spans="1:28" x14ac:dyDescent="0.3">
      <c r="A23" s="1">
        <v>44651</v>
      </c>
      <c r="C23">
        <v>169.89999399999999</v>
      </c>
      <c r="D23">
        <v>187.5</v>
      </c>
      <c r="E23">
        <v>167.199997</v>
      </c>
      <c r="F23">
        <v>185.10000600000001</v>
      </c>
      <c r="G23">
        <v>185.10000600000001</v>
      </c>
      <c r="H23">
        <v>138311563</v>
      </c>
      <c r="J23">
        <v>2280</v>
      </c>
      <c r="K23">
        <v>2316.8999020000001</v>
      </c>
      <c r="L23">
        <v>2280</v>
      </c>
      <c r="M23">
        <v>2294.1499020000001</v>
      </c>
      <c r="N23">
        <v>2180.1127929999998</v>
      </c>
      <c r="O23">
        <v>1338490</v>
      </c>
      <c r="Z23" s="5">
        <v>44651</v>
      </c>
      <c r="AA23" s="6">
        <f>INDEX($A:$P,MATCH(Z23,$A:$A,0),MATCH($AA$1,$A$1:$P$1,0))</f>
        <v>2294.1499020000001</v>
      </c>
      <c r="AB23" s="6">
        <f>INDEX($A:$P,MATCH(Z23,$A:$A,0),MATCH($AB$1,$A$1:$P$1,0))</f>
        <v>169.89999399999999</v>
      </c>
    </row>
    <row r="24" spans="1:28" x14ac:dyDescent="0.3">
      <c r="A24" s="1">
        <v>44652</v>
      </c>
      <c r="C24">
        <v>187.699997</v>
      </c>
      <c r="D24">
        <v>203.60000600000001</v>
      </c>
      <c r="E24">
        <v>187.699997</v>
      </c>
      <c r="F24">
        <v>203.449997</v>
      </c>
      <c r="G24">
        <v>203.449997</v>
      </c>
      <c r="H24">
        <v>142017760</v>
      </c>
      <c r="J24">
        <v>2185</v>
      </c>
      <c r="K24">
        <v>2246</v>
      </c>
      <c r="L24">
        <v>2150</v>
      </c>
      <c r="M24">
        <v>2240.1499020000001</v>
      </c>
      <c r="N24">
        <v>2128.7971189999998</v>
      </c>
      <c r="O24">
        <v>3541517</v>
      </c>
      <c r="Z24" s="5">
        <v>44652</v>
      </c>
      <c r="AA24" s="6">
        <f>INDEX($A:$P,MATCH(Z24,$A:$A,0),MATCH($AA$1,$A$1:$P$1,0))</f>
        <v>2240.1499020000001</v>
      </c>
      <c r="AB24" s="6">
        <f>INDEX($A:$P,MATCH(Z24,$A:$A,0),MATCH($AB$1,$A$1:$P$1,0))</f>
        <v>187.699997</v>
      </c>
    </row>
    <row r="25" spans="1:28" x14ac:dyDescent="0.3">
      <c r="A25" s="1">
        <v>44655</v>
      </c>
      <c r="C25">
        <v>207</v>
      </c>
      <c r="D25">
        <v>220.800003</v>
      </c>
      <c r="E25">
        <v>199.35000600000001</v>
      </c>
      <c r="F25">
        <v>211.949997</v>
      </c>
      <c r="G25">
        <v>211.949997</v>
      </c>
      <c r="H25">
        <v>168426403</v>
      </c>
      <c r="J25">
        <v>2250</v>
      </c>
      <c r="K25">
        <v>2319</v>
      </c>
      <c r="L25">
        <v>2250</v>
      </c>
      <c r="M25">
        <v>2311.75</v>
      </c>
      <c r="N25">
        <v>2196.838135</v>
      </c>
      <c r="O25">
        <v>1417392</v>
      </c>
      <c r="Z25" s="5">
        <v>44655</v>
      </c>
      <c r="AA25" s="6">
        <f>INDEX($A:$P,MATCH(Z25,$A:$A,0),MATCH($AA$1,$A$1:$P$1,0))</f>
        <v>2311.75</v>
      </c>
      <c r="AB25" s="6">
        <f>INDEX($A:$P,MATCH(Z25,$A:$A,0),MATCH($AB$1,$A$1:$P$1,0))</f>
        <v>207</v>
      </c>
    </row>
    <row r="26" spans="1:28" x14ac:dyDescent="0.3">
      <c r="A26" s="1">
        <v>44656</v>
      </c>
      <c r="C26">
        <v>215</v>
      </c>
      <c r="D26">
        <v>233.10000600000001</v>
      </c>
      <c r="E26">
        <v>211.800003</v>
      </c>
      <c r="F26">
        <v>233.10000600000001</v>
      </c>
      <c r="G26">
        <v>233.10000600000001</v>
      </c>
      <c r="H26">
        <v>96357690</v>
      </c>
      <c r="J26">
        <v>2329.8999020000001</v>
      </c>
      <c r="K26">
        <v>2352.6499020000001</v>
      </c>
      <c r="L26">
        <v>2315</v>
      </c>
      <c r="M26">
        <v>2332.25</v>
      </c>
      <c r="N26">
        <v>2216.3190920000002</v>
      </c>
      <c r="O26">
        <v>715666</v>
      </c>
      <c r="Z26" s="5">
        <v>44656</v>
      </c>
      <c r="AA26" s="6">
        <f>INDEX($A:$P,MATCH(Z26,$A:$A,0),MATCH($AA$1,$A$1:$P$1,0))</f>
        <v>2332.25</v>
      </c>
      <c r="AB26" s="6">
        <f>INDEX($A:$P,MATCH(Z26,$A:$A,0),MATCH($AB$1,$A$1:$P$1,0))</f>
        <v>215</v>
      </c>
    </row>
    <row r="27" spans="1:28" x14ac:dyDescent="0.3">
      <c r="A27" s="1">
        <v>44657</v>
      </c>
      <c r="C27">
        <v>237.5</v>
      </c>
      <c r="D27">
        <v>244.75</v>
      </c>
      <c r="E27">
        <v>234</v>
      </c>
      <c r="F27">
        <v>244.75</v>
      </c>
      <c r="G27">
        <v>244.75</v>
      </c>
      <c r="H27">
        <v>54655056</v>
      </c>
      <c r="J27">
        <v>2328</v>
      </c>
      <c r="K27">
        <v>2349.1499020000001</v>
      </c>
      <c r="L27">
        <v>2306.5500489999999</v>
      </c>
      <c r="M27">
        <v>2346.8999020000001</v>
      </c>
      <c r="N27">
        <v>2230.2407229999999</v>
      </c>
      <c r="O27">
        <v>812337</v>
      </c>
      <c r="Z27" s="5">
        <v>44657</v>
      </c>
      <c r="AA27" s="6">
        <f>INDEX($A:$P,MATCH(Z27,$A:$A,0),MATCH($AA$1,$A$1:$P$1,0))</f>
        <v>2346.8999020000001</v>
      </c>
      <c r="AB27" s="6">
        <f>INDEX($A:$P,MATCH(Z27,$A:$A,0),MATCH($AB$1,$A$1:$P$1,0))</f>
        <v>237.5</v>
      </c>
    </row>
    <row r="28" spans="1:28" x14ac:dyDescent="0.3">
      <c r="A28" s="1">
        <v>44658</v>
      </c>
      <c r="C28">
        <v>256.95001200000002</v>
      </c>
      <c r="D28">
        <v>256.95001200000002</v>
      </c>
      <c r="E28">
        <v>232.550003</v>
      </c>
      <c r="F28">
        <v>232.550003</v>
      </c>
      <c r="G28">
        <v>232.550003</v>
      </c>
      <c r="H28">
        <v>29413380</v>
      </c>
      <c r="J28">
        <v>2350</v>
      </c>
      <c r="K28">
        <v>2368.1999510000001</v>
      </c>
      <c r="L28">
        <v>2336.8500979999999</v>
      </c>
      <c r="M28">
        <v>2350.6000979999999</v>
      </c>
      <c r="N28">
        <v>2233.7570799999999</v>
      </c>
      <c r="O28">
        <v>853476</v>
      </c>
      <c r="Z28" s="5">
        <v>44658</v>
      </c>
      <c r="AA28" s="6">
        <f>INDEX($A:$P,MATCH(Z28,$A:$A,0),MATCH($AA$1,$A$1:$P$1,0))</f>
        <v>2350.6000979999999</v>
      </c>
      <c r="AB28" s="6">
        <f>INDEX($A:$P,MATCH(Z28,$A:$A,0),MATCH($AB$1,$A$1:$P$1,0))</f>
        <v>256.95001200000002</v>
      </c>
    </row>
    <row r="29" spans="1:28" x14ac:dyDescent="0.3">
      <c r="A29" s="1">
        <v>44659</v>
      </c>
      <c r="C29">
        <v>220.949997</v>
      </c>
      <c r="D29">
        <v>220.949997</v>
      </c>
      <c r="E29">
        <v>220.949997</v>
      </c>
      <c r="F29">
        <v>220.949997</v>
      </c>
      <c r="G29">
        <v>220.949997</v>
      </c>
      <c r="H29">
        <v>2736278</v>
      </c>
      <c r="J29">
        <v>2355</v>
      </c>
      <c r="K29">
        <v>2380</v>
      </c>
      <c r="L29">
        <v>2330.5500489999999</v>
      </c>
      <c r="M29">
        <v>2362.4499510000001</v>
      </c>
      <c r="N29">
        <v>2245.0178219999998</v>
      </c>
      <c r="O29">
        <v>694946</v>
      </c>
      <c r="Z29" s="5">
        <v>44659</v>
      </c>
      <c r="AA29" s="6">
        <f>INDEX($A:$P,MATCH(Z29,$A:$A,0),MATCH($AA$1,$A$1:$P$1,0))</f>
        <v>2362.4499510000001</v>
      </c>
      <c r="AB29" s="6">
        <f>INDEX($A:$P,MATCH(Z29,$A:$A,0),MATCH($AB$1,$A$1:$P$1,0))</f>
        <v>220.949997</v>
      </c>
    </row>
    <row r="30" spans="1:28" x14ac:dyDescent="0.3">
      <c r="A30" s="1">
        <v>44662</v>
      </c>
      <c r="C30">
        <v>218.949997</v>
      </c>
      <c r="D30">
        <v>231.949997</v>
      </c>
      <c r="E30">
        <v>216.10000600000001</v>
      </c>
      <c r="F30">
        <v>231.60000600000001</v>
      </c>
      <c r="G30">
        <v>231.60000600000001</v>
      </c>
      <c r="H30">
        <v>61868038</v>
      </c>
      <c r="J30">
        <v>2357.9499510000001</v>
      </c>
      <c r="K30">
        <v>2361.75</v>
      </c>
      <c r="L30">
        <v>2331.1499020000001</v>
      </c>
      <c r="M30">
        <v>2335.3999020000001</v>
      </c>
      <c r="N30">
        <v>2219.3125</v>
      </c>
      <c r="O30">
        <v>408871</v>
      </c>
      <c r="Z30" s="5">
        <v>44662</v>
      </c>
      <c r="AA30" s="6">
        <f>INDEX($A:$P,MATCH(Z30,$A:$A,0),MATCH($AA$1,$A$1:$P$1,0))</f>
        <v>2335.3999020000001</v>
      </c>
      <c r="AB30" s="6">
        <f>INDEX($A:$P,MATCH(Z30,$A:$A,0),MATCH($AB$1,$A$1:$P$1,0))</f>
        <v>218.949997</v>
      </c>
    </row>
    <row r="31" spans="1:28" x14ac:dyDescent="0.3">
      <c r="A31" s="1">
        <v>44663</v>
      </c>
      <c r="C31">
        <v>234</v>
      </c>
      <c r="D31">
        <v>239.89999399999999</v>
      </c>
      <c r="E31">
        <v>224.64999399999999</v>
      </c>
      <c r="F31">
        <v>230.800003</v>
      </c>
      <c r="G31">
        <v>230.800003</v>
      </c>
      <c r="H31">
        <v>42554718</v>
      </c>
      <c r="J31">
        <v>2324.9499510000001</v>
      </c>
      <c r="K31">
        <v>2325.9499510000001</v>
      </c>
      <c r="L31">
        <v>2285.5</v>
      </c>
      <c r="M31">
        <v>2297.8999020000001</v>
      </c>
      <c r="N31">
        <v>2183.6765140000002</v>
      </c>
      <c r="O31">
        <v>502227</v>
      </c>
      <c r="Z31" s="5">
        <v>44663</v>
      </c>
      <c r="AA31" s="6">
        <f>INDEX($A:$P,MATCH(Z31,$A:$A,0),MATCH($AA$1,$A$1:$P$1,0))</f>
        <v>2297.8999020000001</v>
      </c>
      <c r="AB31" s="6">
        <f>INDEX($A:$P,MATCH(Z31,$A:$A,0),MATCH($AB$1,$A$1:$P$1,0))</f>
        <v>234</v>
      </c>
    </row>
    <row r="32" spans="1:28" x14ac:dyDescent="0.3">
      <c r="A32" s="1">
        <v>44664</v>
      </c>
      <c r="C32">
        <v>232.39999399999999</v>
      </c>
      <c r="D32">
        <v>236.25</v>
      </c>
      <c r="E32">
        <v>219.300003</v>
      </c>
      <c r="F32">
        <v>223.25</v>
      </c>
      <c r="G32">
        <v>223.25</v>
      </c>
      <c r="H32">
        <v>27425466</v>
      </c>
      <c r="J32">
        <v>2291.5500489999999</v>
      </c>
      <c r="K32">
        <v>2311.1499020000001</v>
      </c>
      <c r="L32">
        <v>2268.8999020000001</v>
      </c>
      <c r="M32">
        <v>2274.3999020000001</v>
      </c>
      <c r="N32">
        <v>2161.3447270000001</v>
      </c>
      <c r="O32">
        <v>426929</v>
      </c>
      <c r="Z32" s="5">
        <v>44664</v>
      </c>
      <c r="AA32" s="6">
        <f>INDEX($A:$P,MATCH(Z32,$A:$A,0),MATCH($AA$1,$A$1:$P$1,0))</f>
        <v>2274.3999020000001</v>
      </c>
      <c r="AB32" s="6">
        <f>INDEX($A:$P,MATCH(Z32,$A:$A,0),MATCH($AB$1,$A$1:$P$1,0))</f>
        <v>232.39999399999999</v>
      </c>
    </row>
    <row r="33" spans="1:28" x14ac:dyDescent="0.3">
      <c r="A33" s="1">
        <v>44669</v>
      </c>
      <c r="C33">
        <v>221</v>
      </c>
      <c r="D33">
        <v>234.39999399999999</v>
      </c>
      <c r="E33">
        <v>214</v>
      </c>
      <c r="F33">
        <v>234.39999399999999</v>
      </c>
      <c r="G33">
        <v>234.39999399999999</v>
      </c>
      <c r="H33">
        <v>30703759</v>
      </c>
      <c r="J33">
        <v>2269.8999020000001</v>
      </c>
      <c r="K33">
        <v>2294.9499510000001</v>
      </c>
      <c r="L33">
        <v>2249.1499020000001</v>
      </c>
      <c r="M33">
        <v>2285.3999020000001</v>
      </c>
      <c r="N33">
        <v>2171.7978520000001</v>
      </c>
      <c r="O33">
        <v>422209</v>
      </c>
      <c r="Z33" s="5">
        <v>44669</v>
      </c>
      <c r="AA33" s="6">
        <f>INDEX($A:$P,MATCH(Z33,$A:$A,0),MATCH($AA$1,$A$1:$P$1,0))</f>
        <v>2285.3999020000001</v>
      </c>
      <c r="AB33" s="6">
        <f>INDEX($A:$P,MATCH(Z33,$A:$A,0),MATCH($AB$1,$A$1:$P$1,0))</f>
        <v>221</v>
      </c>
    </row>
    <row r="34" spans="1:28" x14ac:dyDescent="0.3">
      <c r="A34" s="1">
        <v>44670</v>
      </c>
      <c r="C34">
        <v>240</v>
      </c>
      <c r="D34">
        <v>246.10000600000001</v>
      </c>
      <c r="E34">
        <v>225.050003</v>
      </c>
      <c r="F34">
        <v>232.449997</v>
      </c>
      <c r="G34">
        <v>232.449997</v>
      </c>
      <c r="H34">
        <v>43663282</v>
      </c>
      <c r="J34">
        <v>2308</v>
      </c>
      <c r="K34">
        <v>2327.5</v>
      </c>
      <c r="L34">
        <v>2242.3999020000001</v>
      </c>
      <c r="M34">
        <v>2263.25</v>
      </c>
      <c r="N34">
        <v>2150.7490229999999</v>
      </c>
      <c r="O34">
        <v>484466</v>
      </c>
      <c r="Q34" s="8"/>
      <c r="R34" s="9" t="s">
        <v>16</v>
      </c>
      <c r="S34" s="10">
        <f>MAX(Table2[[AP Open]:[AP Close]])</f>
        <v>432.5</v>
      </c>
      <c r="Z34" s="5">
        <v>44670</v>
      </c>
      <c r="AA34" s="6">
        <f>INDEX($A:$P,MATCH(Z34,$A:$A,0),MATCH($AA$1,$A$1:$P$1,0))</f>
        <v>2263.25</v>
      </c>
      <c r="AB34" s="6">
        <f>INDEX($A:$P,MATCH(Z34,$A:$A,0),MATCH($AB$1,$A$1:$P$1,0))</f>
        <v>240</v>
      </c>
    </row>
    <row r="35" spans="1:28" x14ac:dyDescent="0.3">
      <c r="A35" s="1">
        <v>44671</v>
      </c>
      <c r="C35">
        <v>238.949997</v>
      </c>
      <c r="D35">
        <v>243.5</v>
      </c>
      <c r="E35">
        <v>232</v>
      </c>
      <c r="F35">
        <v>235.050003</v>
      </c>
      <c r="G35">
        <v>235.050003</v>
      </c>
      <c r="H35">
        <v>26049922</v>
      </c>
      <c r="J35">
        <v>2270</v>
      </c>
      <c r="K35">
        <v>2315</v>
      </c>
      <c r="L35">
        <v>2261.6499020000001</v>
      </c>
      <c r="M35">
        <v>2274.8500979999999</v>
      </c>
      <c r="N35">
        <v>2161.772461</v>
      </c>
      <c r="O35">
        <v>424461</v>
      </c>
      <c r="R35" s="9" t="s">
        <v>17</v>
      </c>
      <c r="S35" s="10">
        <f>MIN(Table2[[AP Open]:[AP Close]])</f>
        <v>115.349998</v>
      </c>
      <c r="Z35" s="5">
        <v>44671</v>
      </c>
      <c r="AA35" s="6">
        <f>INDEX($A:$P,MATCH(Z35,$A:$A,0),MATCH($AA$1,$A$1:$P$1,0))</f>
        <v>2274.8500979999999</v>
      </c>
      <c r="AB35" s="6">
        <f>INDEX($A:$P,MATCH(Z35,$A:$A,0),MATCH($AB$1,$A$1:$P$1,0))</f>
        <v>238.949997</v>
      </c>
    </row>
    <row r="36" spans="1:28" x14ac:dyDescent="0.3">
      <c r="A36" s="1">
        <v>44672</v>
      </c>
      <c r="C36">
        <v>239.300003</v>
      </c>
      <c r="D36">
        <v>246.800003</v>
      </c>
      <c r="E36">
        <v>238.199997</v>
      </c>
      <c r="F36">
        <v>246.800003</v>
      </c>
      <c r="G36">
        <v>246.800003</v>
      </c>
      <c r="H36">
        <v>30361095</v>
      </c>
      <c r="J36">
        <v>2282</v>
      </c>
      <c r="K36">
        <v>2321.75</v>
      </c>
      <c r="L36">
        <v>2277</v>
      </c>
      <c r="M36">
        <v>2317.6499020000001</v>
      </c>
      <c r="N36">
        <v>2202.4445799999999</v>
      </c>
      <c r="O36">
        <v>341987</v>
      </c>
      <c r="R36" s="8"/>
      <c r="S36" s="8"/>
      <c r="Z36" s="5">
        <v>44672</v>
      </c>
      <c r="AA36" s="6">
        <f>INDEX($A:$P,MATCH(Z36,$A:$A,0),MATCH($AA$1,$A$1:$P$1,0))</f>
        <v>2317.6499020000001</v>
      </c>
      <c r="AB36" s="6">
        <f>INDEX($A:$P,MATCH(Z36,$A:$A,0),MATCH($AB$1,$A$1:$P$1,0))</f>
        <v>239.300003</v>
      </c>
    </row>
    <row r="37" spans="1:28" x14ac:dyDescent="0.3">
      <c r="A37" s="1">
        <v>44673</v>
      </c>
      <c r="C37">
        <v>249.800003</v>
      </c>
      <c r="D37">
        <v>259.10000600000001</v>
      </c>
      <c r="E37">
        <v>248.699997</v>
      </c>
      <c r="F37">
        <v>259.10000600000001</v>
      </c>
      <c r="G37">
        <v>259.10000600000001</v>
      </c>
      <c r="H37">
        <v>34601657</v>
      </c>
      <c r="J37">
        <v>2295</v>
      </c>
      <c r="K37">
        <v>2305</v>
      </c>
      <c r="L37">
        <v>2273.6499020000001</v>
      </c>
      <c r="M37">
        <v>2294.25</v>
      </c>
      <c r="N37">
        <v>2180.2080080000001</v>
      </c>
      <c r="O37">
        <v>598737</v>
      </c>
      <c r="R37" s="9" t="s">
        <v>18</v>
      </c>
      <c r="S37" s="10">
        <f>MAX(Table2[[HMC Open]:[HMC Close]])</f>
        <v>2938.6000979999999</v>
      </c>
      <c r="Z37" s="5">
        <v>44673</v>
      </c>
      <c r="AA37" s="6">
        <f>INDEX($A:$P,MATCH(Z37,$A:$A,0),MATCH($AA$1,$A$1:$P$1,0))</f>
        <v>2294.25</v>
      </c>
      <c r="AB37" s="6">
        <f>INDEX($A:$P,MATCH(Z37,$A:$A,0),MATCH($AB$1,$A$1:$P$1,0))</f>
        <v>249.800003</v>
      </c>
    </row>
    <row r="38" spans="1:28" x14ac:dyDescent="0.3">
      <c r="A38" s="1">
        <v>44676</v>
      </c>
      <c r="C38">
        <v>263.39999399999999</v>
      </c>
      <c r="D38">
        <v>272.04998799999998</v>
      </c>
      <c r="E38">
        <v>262.10000600000001</v>
      </c>
      <c r="F38">
        <v>272.04998799999998</v>
      </c>
      <c r="G38">
        <v>272.04998799999998</v>
      </c>
      <c r="H38">
        <v>25909476</v>
      </c>
      <c r="J38">
        <v>2268.3000489999999</v>
      </c>
      <c r="K38">
        <v>2332.9499510000001</v>
      </c>
      <c r="L38">
        <v>2266</v>
      </c>
      <c r="M38">
        <v>2288.6000979999999</v>
      </c>
      <c r="N38">
        <v>2174.8388669999999</v>
      </c>
      <c r="O38">
        <v>596296</v>
      </c>
      <c r="R38" s="9" t="s">
        <v>19</v>
      </c>
      <c r="S38" s="10">
        <f>MIN(Table2[[HMC Open]:[HMC Close]])</f>
        <v>2146.8500979999999</v>
      </c>
      <c r="Z38" s="5">
        <v>44676</v>
      </c>
      <c r="AA38" s="6">
        <f>INDEX($A:$P,MATCH(Z38,$A:$A,0),MATCH($AA$1,$A$1:$P$1,0))</f>
        <v>2288.6000979999999</v>
      </c>
      <c r="AB38" s="6">
        <f>INDEX($A:$P,MATCH(Z38,$A:$A,0),MATCH($AB$1,$A$1:$P$1,0))</f>
        <v>263.39999399999999</v>
      </c>
    </row>
    <row r="39" spans="1:28" x14ac:dyDescent="0.3">
      <c r="A39" s="1">
        <v>44677</v>
      </c>
      <c r="C39">
        <v>285.60000600000001</v>
      </c>
      <c r="D39">
        <v>285.64999399999999</v>
      </c>
      <c r="E39">
        <v>283</v>
      </c>
      <c r="F39">
        <v>285.64999399999999</v>
      </c>
      <c r="G39">
        <v>285.64999399999999</v>
      </c>
      <c r="H39">
        <v>5864099</v>
      </c>
      <c r="J39">
        <v>2311</v>
      </c>
      <c r="K39">
        <v>2413</v>
      </c>
      <c r="L39">
        <v>2301.3000489999999</v>
      </c>
      <c r="M39">
        <v>2407.25</v>
      </c>
      <c r="N39">
        <v>2287.5910640000002</v>
      </c>
      <c r="O39">
        <v>1311255</v>
      </c>
      <c r="Z39" s="5">
        <v>44677</v>
      </c>
      <c r="AA39" s="6">
        <f>INDEX($A:$P,MATCH(Z39,$A:$A,0),MATCH($AA$1,$A$1:$P$1,0))</f>
        <v>2407.25</v>
      </c>
      <c r="AB39" s="6">
        <f>INDEX($A:$P,MATCH(Z39,$A:$A,0),MATCH($AB$1,$A$1:$P$1,0))</f>
        <v>285.60000600000001</v>
      </c>
    </row>
    <row r="40" spans="1:28" x14ac:dyDescent="0.3">
      <c r="A40" s="1">
        <v>44678</v>
      </c>
      <c r="C40">
        <v>298</v>
      </c>
      <c r="D40">
        <v>299.89999399999999</v>
      </c>
      <c r="E40">
        <v>276.64999399999999</v>
      </c>
      <c r="F40">
        <v>299.20001200000002</v>
      </c>
      <c r="G40">
        <v>299.20001200000002</v>
      </c>
      <c r="H40">
        <v>44895283</v>
      </c>
      <c r="J40">
        <v>2390</v>
      </c>
      <c r="K40">
        <v>2528.6000979999999</v>
      </c>
      <c r="L40">
        <v>2370</v>
      </c>
      <c r="M40">
        <v>2500</v>
      </c>
      <c r="N40">
        <v>2375.7307129999999</v>
      </c>
      <c r="O40">
        <v>2082863</v>
      </c>
      <c r="Z40" s="5">
        <v>44678</v>
      </c>
      <c r="AA40" s="6">
        <f>INDEX($A:$P,MATCH(Z40,$A:$A,0),MATCH($AA$1,$A$1:$P$1,0))</f>
        <v>2500</v>
      </c>
      <c r="AB40" s="6">
        <f>INDEX($A:$P,MATCH(Z40,$A:$A,0),MATCH($AB$1,$A$1:$P$1,0))</f>
        <v>298</v>
      </c>
    </row>
    <row r="41" spans="1:28" x14ac:dyDescent="0.3">
      <c r="A41" s="1">
        <v>44679</v>
      </c>
      <c r="C41">
        <v>305.20001200000002</v>
      </c>
      <c r="D41">
        <v>312</v>
      </c>
      <c r="E41">
        <v>284.25</v>
      </c>
      <c r="F41">
        <v>284.25</v>
      </c>
      <c r="G41">
        <v>284.25</v>
      </c>
      <c r="H41">
        <v>48465993</v>
      </c>
      <c r="J41">
        <v>2539.8000489999999</v>
      </c>
      <c r="K41">
        <v>2541.9499510000001</v>
      </c>
      <c r="L41">
        <v>2498.0500489999999</v>
      </c>
      <c r="M41">
        <v>2517.3000489999999</v>
      </c>
      <c r="N41">
        <v>2392.170654</v>
      </c>
      <c r="O41">
        <v>1182758</v>
      </c>
      <c r="Z41" s="5">
        <v>44679</v>
      </c>
      <c r="AA41" s="6">
        <f>INDEX($A:$P,MATCH(Z41,$A:$A,0),MATCH($AA$1,$A$1:$P$1,0))</f>
        <v>2517.3000489999999</v>
      </c>
      <c r="AB41" s="6">
        <f>INDEX($A:$P,MATCH(Z41,$A:$A,0),MATCH($AB$1,$A$1:$P$1,0))</f>
        <v>305.20001200000002</v>
      </c>
    </row>
    <row r="42" spans="1:28" x14ac:dyDescent="0.3">
      <c r="A42" s="1">
        <v>44680</v>
      </c>
      <c r="C42">
        <v>278</v>
      </c>
      <c r="D42">
        <v>296</v>
      </c>
      <c r="E42">
        <v>270.04998799999998</v>
      </c>
      <c r="F42">
        <v>280.35000600000001</v>
      </c>
      <c r="G42">
        <v>280.35000600000001</v>
      </c>
      <c r="H42">
        <v>45385821</v>
      </c>
      <c r="J42">
        <v>2508.6000979999999</v>
      </c>
      <c r="K42">
        <v>2552</v>
      </c>
      <c r="L42">
        <v>2491.4499510000001</v>
      </c>
      <c r="M42">
        <v>2506.6499020000001</v>
      </c>
      <c r="N42">
        <v>2382.0500489999999</v>
      </c>
      <c r="O42">
        <v>839920</v>
      </c>
      <c r="Z42" s="5">
        <v>44680</v>
      </c>
      <c r="AA42" s="6">
        <f>INDEX($A:$P,MATCH(Z42,$A:$A,0),MATCH($AA$1,$A$1:$P$1,0))</f>
        <v>2506.6499020000001</v>
      </c>
      <c r="AB42" s="6">
        <f>INDEX($A:$P,MATCH(Z42,$A:$A,0),MATCH($AB$1,$A$1:$P$1,0))</f>
        <v>278</v>
      </c>
    </row>
    <row r="43" spans="1:28" x14ac:dyDescent="0.3">
      <c r="A43" s="1">
        <v>44683</v>
      </c>
      <c r="C43">
        <v>280</v>
      </c>
      <c r="D43">
        <v>288.85000600000001</v>
      </c>
      <c r="E43">
        <v>273</v>
      </c>
      <c r="F43">
        <v>280.35000600000001</v>
      </c>
      <c r="G43">
        <v>280.35000600000001</v>
      </c>
      <c r="H43">
        <v>17953004</v>
      </c>
      <c r="J43">
        <v>2460.1999510000001</v>
      </c>
      <c r="K43">
        <v>2505.6000979999999</v>
      </c>
      <c r="L43">
        <v>2448.1000979999999</v>
      </c>
      <c r="M43">
        <v>2487.3000489999999</v>
      </c>
      <c r="N43">
        <v>2363.6621089999999</v>
      </c>
      <c r="O43">
        <v>667551</v>
      </c>
      <c r="Z43" s="5">
        <v>44683</v>
      </c>
      <c r="AA43" s="6">
        <f>INDEX($A:$P,MATCH(Z43,$A:$A,0),MATCH($AA$1,$A$1:$P$1,0))</f>
        <v>2487.3000489999999</v>
      </c>
      <c r="AB43" s="6">
        <f>INDEX($A:$P,MATCH(Z43,$A:$A,0),MATCH($AB$1,$A$1:$P$1,0))</f>
        <v>280</v>
      </c>
    </row>
    <row r="44" spans="1:28" x14ac:dyDescent="0.3">
      <c r="A44" s="1">
        <v>44685</v>
      </c>
      <c r="C44">
        <v>288</v>
      </c>
      <c r="D44">
        <v>289</v>
      </c>
      <c r="E44">
        <v>266.35000600000001</v>
      </c>
      <c r="F44">
        <v>266.35000600000001</v>
      </c>
      <c r="G44">
        <v>266.35000600000001</v>
      </c>
      <c r="H44">
        <v>17652624</v>
      </c>
      <c r="J44">
        <v>2440</v>
      </c>
      <c r="K44">
        <v>2520</v>
      </c>
      <c r="L44">
        <v>2398.8000489999999</v>
      </c>
      <c r="M44">
        <v>2409.5</v>
      </c>
      <c r="N44">
        <v>2289.7292480000001</v>
      </c>
      <c r="O44">
        <v>1263034</v>
      </c>
      <c r="Z44" s="5">
        <v>44685</v>
      </c>
      <c r="AA44" s="6">
        <f>INDEX($A:$P,MATCH(Z44,$A:$A,0),MATCH($AA$1,$A$1:$P$1,0))</f>
        <v>2409.5</v>
      </c>
      <c r="AB44" s="6">
        <f>INDEX($A:$P,MATCH(Z44,$A:$A,0),MATCH($AB$1,$A$1:$P$1,0))</f>
        <v>288</v>
      </c>
    </row>
    <row r="45" spans="1:28" x14ac:dyDescent="0.3">
      <c r="A45" s="1">
        <v>44686</v>
      </c>
      <c r="C45">
        <v>260</v>
      </c>
      <c r="D45">
        <v>279.64999399999999</v>
      </c>
      <c r="E45">
        <v>253.050003</v>
      </c>
      <c r="F45">
        <v>278.14999399999999</v>
      </c>
      <c r="G45">
        <v>278.14999399999999</v>
      </c>
      <c r="H45">
        <v>39813793</v>
      </c>
      <c r="J45">
        <v>2430.1000979999999</v>
      </c>
      <c r="K45">
        <v>2538.1499020000001</v>
      </c>
      <c r="L45">
        <v>2430.1000979999999</v>
      </c>
      <c r="M45">
        <v>2501.6499020000001</v>
      </c>
      <c r="N45">
        <v>2377.2985840000001</v>
      </c>
      <c r="O45">
        <v>1675043</v>
      </c>
      <c r="Z45" s="5">
        <v>44686</v>
      </c>
      <c r="AA45" s="6">
        <f>INDEX($A:$P,MATCH(Z45,$A:$A,0),MATCH($AA$1,$A$1:$P$1,0))</f>
        <v>2501.6499020000001</v>
      </c>
      <c r="AB45" s="6">
        <f>INDEX($A:$P,MATCH(Z45,$A:$A,0),MATCH($AB$1,$A$1:$P$1,0))</f>
        <v>260</v>
      </c>
    </row>
    <row r="46" spans="1:28" x14ac:dyDescent="0.3">
      <c r="A46" s="1">
        <v>44687</v>
      </c>
      <c r="C46">
        <v>283.95001200000002</v>
      </c>
      <c r="D46">
        <v>292.04998799999998</v>
      </c>
      <c r="E46">
        <v>271.5</v>
      </c>
      <c r="F46">
        <v>292.04998799999998</v>
      </c>
      <c r="G46">
        <v>292.04998799999998</v>
      </c>
      <c r="H46">
        <v>45678881</v>
      </c>
      <c r="J46">
        <v>2410</v>
      </c>
      <c r="K46">
        <v>2599</v>
      </c>
      <c r="L46">
        <v>2407.25</v>
      </c>
      <c r="M46">
        <v>2563.3500979999999</v>
      </c>
      <c r="N46">
        <v>2435.931885</v>
      </c>
      <c r="O46">
        <v>2491483</v>
      </c>
      <c r="Z46" s="5">
        <v>44687</v>
      </c>
      <c r="AA46" s="6">
        <f>INDEX($A:$P,MATCH(Z46,$A:$A,0),MATCH($AA$1,$A$1:$P$1,0))</f>
        <v>2563.3500979999999</v>
      </c>
      <c r="AB46" s="6">
        <f>INDEX($A:$P,MATCH(Z46,$A:$A,0),MATCH($AB$1,$A$1:$P$1,0))</f>
        <v>283.95001200000002</v>
      </c>
    </row>
    <row r="47" spans="1:28" x14ac:dyDescent="0.3">
      <c r="A47" s="1">
        <v>44690</v>
      </c>
      <c r="C47">
        <v>295.64999399999999</v>
      </c>
      <c r="D47">
        <v>298</v>
      </c>
      <c r="E47">
        <v>277.45001200000002</v>
      </c>
      <c r="F47">
        <v>281.60000600000001</v>
      </c>
      <c r="G47">
        <v>281.60000600000001</v>
      </c>
      <c r="H47">
        <v>40481648</v>
      </c>
      <c r="J47">
        <v>2555</v>
      </c>
      <c r="K47">
        <v>2560</v>
      </c>
      <c r="L47">
        <v>2486</v>
      </c>
      <c r="M47">
        <v>2492.75</v>
      </c>
      <c r="N47">
        <v>2368.8408199999999</v>
      </c>
      <c r="O47">
        <v>996952</v>
      </c>
      <c r="Z47" s="5">
        <v>44690</v>
      </c>
      <c r="AA47" s="6">
        <f>INDEX($A:$P,MATCH(Z47,$A:$A,0),MATCH($AA$1,$A$1:$P$1,0))</f>
        <v>2492.75</v>
      </c>
      <c r="AB47" s="6">
        <f>INDEX($A:$P,MATCH(Z47,$A:$A,0),MATCH($AB$1,$A$1:$P$1,0))</f>
        <v>295.64999399999999</v>
      </c>
    </row>
    <row r="48" spans="1:28" x14ac:dyDescent="0.3">
      <c r="A48" s="1">
        <v>44691</v>
      </c>
      <c r="C48">
        <v>272.45001200000002</v>
      </c>
      <c r="D48">
        <v>281.60000600000001</v>
      </c>
      <c r="E48">
        <v>267.54998799999998</v>
      </c>
      <c r="F48">
        <v>267.54998799999998</v>
      </c>
      <c r="G48">
        <v>267.54998799999998</v>
      </c>
      <c r="H48">
        <v>13908532</v>
      </c>
      <c r="J48">
        <v>2485</v>
      </c>
      <c r="K48">
        <v>2519.3500979999999</v>
      </c>
      <c r="L48">
        <v>2458.6000979999999</v>
      </c>
      <c r="M48">
        <v>2469.75</v>
      </c>
      <c r="N48">
        <v>2346.9841310000002</v>
      </c>
      <c r="O48">
        <v>644415</v>
      </c>
      <c r="Z48" s="5">
        <v>44691</v>
      </c>
      <c r="AA48" s="6">
        <f>INDEX($A:$P,MATCH(Z48,$A:$A,0),MATCH($AA$1,$A$1:$P$1,0))</f>
        <v>2469.75</v>
      </c>
      <c r="AB48" s="6">
        <f>INDEX($A:$P,MATCH(Z48,$A:$A,0),MATCH($AB$1,$A$1:$P$1,0))</f>
        <v>272.45001200000002</v>
      </c>
    </row>
    <row r="49" spans="1:28" x14ac:dyDescent="0.3">
      <c r="A49" s="1">
        <v>44692</v>
      </c>
      <c r="C49">
        <v>257.29998799999998</v>
      </c>
      <c r="D49">
        <v>278</v>
      </c>
      <c r="E49">
        <v>254.199997</v>
      </c>
      <c r="F49">
        <v>255.300003</v>
      </c>
      <c r="G49">
        <v>255.300003</v>
      </c>
      <c r="H49">
        <v>34477812</v>
      </c>
      <c r="J49">
        <v>2465.5</v>
      </c>
      <c r="K49">
        <v>2519.3999020000001</v>
      </c>
      <c r="L49">
        <v>2407.8999020000001</v>
      </c>
      <c r="M49">
        <v>2470.3000489999999</v>
      </c>
      <c r="N49">
        <v>2347.5070799999999</v>
      </c>
      <c r="O49">
        <v>575504</v>
      </c>
      <c r="Z49" s="5">
        <v>44692</v>
      </c>
      <c r="AA49" s="6">
        <f>INDEX($A:$P,MATCH(Z49,$A:$A,0),MATCH($AA$1,$A$1:$P$1,0))</f>
        <v>2470.3000489999999</v>
      </c>
      <c r="AB49" s="6">
        <f>INDEX($A:$P,MATCH(Z49,$A:$A,0),MATCH($AB$1,$A$1:$P$1,0))</f>
        <v>257.29998799999998</v>
      </c>
    </row>
    <row r="50" spans="1:28" x14ac:dyDescent="0.3">
      <c r="A50" s="1">
        <v>44693</v>
      </c>
      <c r="C50">
        <v>250</v>
      </c>
      <c r="D50">
        <v>254.60000600000001</v>
      </c>
      <c r="E50">
        <v>242.550003</v>
      </c>
      <c r="F50">
        <v>242.550003</v>
      </c>
      <c r="G50">
        <v>242.550003</v>
      </c>
      <c r="H50">
        <v>11068771</v>
      </c>
      <c r="J50">
        <v>2459</v>
      </c>
      <c r="K50">
        <v>2459</v>
      </c>
      <c r="L50">
        <v>2371</v>
      </c>
      <c r="M50">
        <v>2401.1999510000001</v>
      </c>
      <c r="N50">
        <v>2281.841797</v>
      </c>
      <c r="O50">
        <v>966472</v>
      </c>
      <c r="Z50" s="5">
        <v>44693</v>
      </c>
      <c r="AA50" s="6">
        <f>INDEX($A:$P,MATCH(Z50,$A:$A,0),MATCH($AA$1,$A$1:$P$1,0))</f>
        <v>2401.1999510000001</v>
      </c>
      <c r="AB50" s="6">
        <f>INDEX($A:$P,MATCH(Z50,$A:$A,0),MATCH($AB$1,$A$1:$P$1,0))</f>
        <v>250</v>
      </c>
    </row>
    <row r="51" spans="1:28" x14ac:dyDescent="0.3">
      <c r="A51" s="1">
        <v>44694</v>
      </c>
      <c r="C51">
        <v>250</v>
      </c>
      <c r="D51">
        <v>254.64999399999999</v>
      </c>
      <c r="E51">
        <v>245.60000600000001</v>
      </c>
      <c r="F51">
        <v>254.64999399999999</v>
      </c>
      <c r="G51">
        <v>254.64999399999999</v>
      </c>
      <c r="H51">
        <v>7976144</v>
      </c>
      <c r="J51">
        <v>2414.9499510000001</v>
      </c>
      <c r="K51">
        <v>2500</v>
      </c>
      <c r="L51">
        <v>2414.9499510000001</v>
      </c>
      <c r="M51">
        <v>2449.1499020000001</v>
      </c>
      <c r="N51">
        <v>2327.408203</v>
      </c>
      <c r="O51">
        <v>691344</v>
      </c>
      <c r="Z51" s="5">
        <v>44694</v>
      </c>
      <c r="AA51" s="6">
        <f>INDEX($A:$P,MATCH(Z51,$A:$A,0),MATCH($AA$1,$A$1:$P$1,0))</f>
        <v>2449.1499020000001</v>
      </c>
      <c r="AB51" s="6">
        <f>INDEX($A:$P,MATCH(Z51,$A:$A,0),MATCH($AB$1,$A$1:$P$1,0))</f>
        <v>250</v>
      </c>
    </row>
    <row r="52" spans="1:28" x14ac:dyDescent="0.3">
      <c r="A52" s="1">
        <v>44697</v>
      </c>
      <c r="C52">
        <v>267.35000600000001</v>
      </c>
      <c r="D52">
        <v>267.35000600000001</v>
      </c>
      <c r="E52">
        <v>267.35000600000001</v>
      </c>
      <c r="F52">
        <v>267.35000600000001</v>
      </c>
      <c r="G52">
        <v>267.35000600000001</v>
      </c>
      <c r="H52">
        <v>3138052</v>
      </c>
      <c r="J52">
        <v>2450.0500489999999</v>
      </c>
      <c r="K52">
        <v>2511.9499510000001</v>
      </c>
      <c r="L52">
        <v>2440</v>
      </c>
      <c r="M52">
        <v>2495.8999020000001</v>
      </c>
      <c r="N52">
        <v>2371.8342290000001</v>
      </c>
      <c r="O52">
        <v>473407</v>
      </c>
      <c r="Z52" s="5">
        <v>44697</v>
      </c>
      <c r="AA52" s="6">
        <f>INDEX($A:$P,MATCH(Z52,$A:$A,0),MATCH($AA$1,$A$1:$P$1,0))</f>
        <v>2495.8999020000001</v>
      </c>
      <c r="AB52" s="6">
        <f>INDEX($A:$P,MATCH(Z52,$A:$A,0),MATCH($AB$1,$A$1:$P$1,0))</f>
        <v>267.35000600000001</v>
      </c>
    </row>
    <row r="53" spans="1:28" x14ac:dyDescent="0.3">
      <c r="A53" s="1">
        <v>44698</v>
      </c>
      <c r="C53">
        <v>280.70001200000002</v>
      </c>
      <c r="D53">
        <v>280.70001200000002</v>
      </c>
      <c r="E53">
        <v>280.70001200000002</v>
      </c>
      <c r="F53">
        <v>280.70001200000002</v>
      </c>
      <c r="G53">
        <v>280.70001200000002</v>
      </c>
      <c r="H53">
        <v>1419672</v>
      </c>
      <c r="J53">
        <v>2515</v>
      </c>
      <c r="K53">
        <v>2538.8500979999999</v>
      </c>
      <c r="L53">
        <v>2502.0500489999999</v>
      </c>
      <c r="M53">
        <v>2523.5</v>
      </c>
      <c r="N53">
        <v>2398.0627439999998</v>
      </c>
      <c r="O53">
        <v>517525</v>
      </c>
      <c r="Z53" s="5">
        <v>44698</v>
      </c>
      <c r="AA53" s="6">
        <f>INDEX($A:$P,MATCH(Z53,$A:$A,0),MATCH($AA$1,$A$1:$P$1,0))</f>
        <v>2523.5</v>
      </c>
      <c r="AB53" s="6">
        <f>INDEX($A:$P,MATCH(Z53,$A:$A,0),MATCH($AB$1,$A$1:$P$1,0))</f>
        <v>280.70001200000002</v>
      </c>
    </row>
    <row r="54" spans="1:28" x14ac:dyDescent="0.3">
      <c r="A54" s="1">
        <v>44699</v>
      </c>
      <c r="C54">
        <v>294.70001200000002</v>
      </c>
      <c r="D54">
        <v>294.70001200000002</v>
      </c>
      <c r="E54">
        <v>283.60000600000001</v>
      </c>
      <c r="F54">
        <v>294.70001200000002</v>
      </c>
      <c r="G54">
        <v>294.70001200000002</v>
      </c>
      <c r="H54">
        <v>36111034</v>
      </c>
      <c r="J54">
        <v>2525.3500979999999</v>
      </c>
      <c r="K54">
        <v>2554.1999510000001</v>
      </c>
      <c r="L54">
        <v>2511.8000489999999</v>
      </c>
      <c r="M54">
        <v>2539</v>
      </c>
      <c r="N54">
        <v>2412.7919919999999</v>
      </c>
      <c r="O54">
        <v>332168</v>
      </c>
      <c r="Z54" s="5">
        <v>44699</v>
      </c>
      <c r="AA54" s="6">
        <f>INDEX($A:$P,MATCH(Z54,$A:$A,0),MATCH($AA$1,$A$1:$P$1,0))</f>
        <v>2539</v>
      </c>
      <c r="AB54" s="6">
        <f>INDEX($A:$P,MATCH(Z54,$A:$A,0),MATCH($AB$1,$A$1:$P$1,0))</f>
        <v>294.70001200000002</v>
      </c>
    </row>
    <row r="55" spans="1:28" x14ac:dyDescent="0.3">
      <c r="A55" s="1">
        <v>44700</v>
      </c>
      <c r="C55">
        <v>286.95001200000002</v>
      </c>
      <c r="D55">
        <v>303.95001200000002</v>
      </c>
      <c r="E55">
        <v>284.64999399999999</v>
      </c>
      <c r="F55">
        <v>297.39999399999999</v>
      </c>
      <c r="G55">
        <v>297.39999399999999</v>
      </c>
      <c r="H55">
        <v>31377678</v>
      </c>
      <c r="J55">
        <v>2510.1000979999999</v>
      </c>
      <c r="K55">
        <v>2549</v>
      </c>
      <c r="L55">
        <v>2500.5500489999999</v>
      </c>
      <c r="M55">
        <v>2515.5</v>
      </c>
      <c r="N55">
        <v>2390.4602049999999</v>
      </c>
      <c r="O55">
        <v>556405</v>
      </c>
      <c r="Z55" s="5">
        <v>44700</v>
      </c>
      <c r="AA55" s="6">
        <f>INDEX($A:$P,MATCH(Z55,$A:$A,0),MATCH($AA$1,$A$1:$P$1,0))</f>
        <v>2515.5</v>
      </c>
      <c r="AB55" s="6">
        <f>INDEX($A:$P,MATCH(Z55,$A:$A,0),MATCH($AB$1,$A$1:$P$1,0))</f>
        <v>286.95001200000002</v>
      </c>
    </row>
    <row r="56" spans="1:28" x14ac:dyDescent="0.3">
      <c r="A56" s="1">
        <v>44701</v>
      </c>
      <c r="C56">
        <v>307</v>
      </c>
      <c r="D56">
        <v>312.25</v>
      </c>
      <c r="E56">
        <v>305.10000600000001</v>
      </c>
      <c r="F56">
        <v>312.25</v>
      </c>
      <c r="G56">
        <v>312.25</v>
      </c>
      <c r="H56">
        <v>22456814</v>
      </c>
      <c r="J56">
        <v>2545</v>
      </c>
      <c r="K56">
        <v>2613.3999020000001</v>
      </c>
      <c r="L56">
        <v>2545</v>
      </c>
      <c r="M56">
        <v>2590.1499020000001</v>
      </c>
      <c r="N56">
        <v>2461.399414</v>
      </c>
      <c r="O56">
        <v>751633</v>
      </c>
      <c r="Z56" s="5">
        <v>44701</v>
      </c>
      <c r="AA56" s="6">
        <f>INDEX($A:$P,MATCH(Z56,$A:$A,0),MATCH($AA$1,$A$1:$P$1,0))</f>
        <v>2590.1499020000001</v>
      </c>
      <c r="AB56" s="6">
        <f>INDEX($A:$P,MATCH(Z56,$A:$A,0),MATCH($AB$1,$A$1:$P$1,0))</f>
        <v>307</v>
      </c>
    </row>
    <row r="57" spans="1:28" x14ac:dyDescent="0.3">
      <c r="A57" s="1">
        <v>44704</v>
      </c>
      <c r="C57">
        <v>321.64999399999999</v>
      </c>
      <c r="D57">
        <v>327.85000600000001</v>
      </c>
      <c r="E57">
        <v>318.35000600000001</v>
      </c>
      <c r="F57">
        <v>327.85000600000001</v>
      </c>
      <c r="G57">
        <v>327.85000600000001</v>
      </c>
      <c r="H57">
        <v>12991259</v>
      </c>
      <c r="J57">
        <v>2615.0500489999999</v>
      </c>
      <c r="K57">
        <v>2699.9499510000001</v>
      </c>
      <c r="L57">
        <v>2610.5500489999999</v>
      </c>
      <c r="M57">
        <v>2624.6999510000001</v>
      </c>
      <c r="N57">
        <v>2494.2321780000002</v>
      </c>
      <c r="O57">
        <v>744827</v>
      </c>
      <c r="Z57" s="5">
        <v>44704</v>
      </c>
      <c r="AA57" s="6">
        <f>INDEX($A:$P,MATCH(Z57,$A:$A,0),MATCH($AA$1,$A$1:$P$1,0))</f>
        <v>2624.6999510000001</v>
      </c>
      <c r="AB57" s="6">
        <f>INDEX($A:$P,MATCH(Z57,$A:$A,0),MATCH($AB$1,$A$1:$P$1,0))</f>
        <v>321.64999399999999</v>
      </c>
    </row>
    <row r="58" spans="1:28" x14ac:dyDescent="0.3">
      <c r="A58" s="1">
        <v>44705</v>
      </c>
      <c r="C58">
        <v>340.95001200000002</v>
      </c>
      <c r="D58">
        <v>343.89999399999999</v>
      </c>
      <c r="E58">
        <v>311.5</v>
      </c>
      <c r="F58">
        <v>311.5</v>
      </c>
      <c r="G58">
        <v>311.5</v>
      </c>
      <c r="H58">
        <v>39427567</v>
      </c>
      <c r="J58">
        <v>2629.9499510000001</v>
      </c>
      <c r="K58">
        <v>2654</v>
      </c>
      <c r="L58">
        <v>2613.3999020000001</v>
      </c>
      <c r="M58">
        <v>2637</v>
      </c>
      <c r="N58">
        <v>2505.920654</v>
      </c>
      <c r="O58">
        <v>616849</v>
      </c>
      <c r="Z58" s="5">
        <v>44705</v>
      </c>
      <c r="AA58" s="6">
        <f>INDEX($A:$P,MATCH(Z58,$A:$A,0),MATCH($AA$1,$A$1:$P$1,0))</f>
        <v>2637</v>
      </c>
      <c r="AB58" s="6">
        <f>INDEX($A:$P,MATCH(Z58,$A:$A,0),MATCH($AB$1,$A$1:$P$1,0))</f>
        <v>340.95001200000002</v>
      </c>
    </row>
    <row r="59" spans="1:28" x14ac:dyDescent="0.3">
      <c r="A59" s="1">
        <v>44706</v>
      </c>
      <c r="C59">
        <v>309.10000600000001</v>
      </c>
      <c r="D59">
        <v>318.79998799999998</v>
      </c>
      <c r="E59">
        <v>295.95001200000002</v>
      </c>
      <c r="F59">
        <v>299.35000600000001</v>
      </c>
      <c r="G59">
        <v>299.35000600000001</v>
      </c>
      <c r="H59">
        <v>31601250</v>
      </c>
      <c r="J59">
        <v>2640.1999510000001</v>
      </c>
      <c r="K59">
        <v>2669.25</v>
      </c>
      <c r="L59">
        <v>2583.6499020000001</v>
      </c>
      <c r="M59">
        <v>2594.6999510000001</v>
      </c>
      <c r="N59">
        <v>2465.7231449999999</v>
      </c>
      <c r="O59">
        <v>525893</v>
      </c>
      <c r="Z59" s="5">
        <v>44706</v>
      </c>
      <c r="AA59" s="6">
        <f>INDEX($A:$P,MATCH(Z59,$A:$A,0),MATCH($AA$1,$A$1:$P$1,0))</f>
        <v>2594.6999510000001</v>
      </c>
      <c r="AB59" s="6">
        <f>INDEX($A:$P,MATCH(Z59,$A:$A,0),MATCH($AB$1,$A$1:$P$1,0))</f>
        <v>309.10000600000001</v>
      </c>
    </row>
    <row r="60" spans="1:28" x14ac:dyDescent="0.3">
      <c r="A60" s="1">
        <v>44707</v>
      </c>
      <c r="C60">
        <v>308.89999399999999</v>
      </c>
      <c r="D60">
        <v>314.29998799999998</v>
      </c>
      <c r="E60">
        <v>286.10000600000001</v>
      </c>
      <c r="F60">
        <v>314.29998799999998</v>
      </c>
      <c r="G60">
        <v>314.29998799999998</v>
      </c>
      <c r="H60">
        <v>30333101</v>
      </c>
      <c r="J60">
        <v>2608</v>
      </c>
      <c r="K60">
        <v>2647.3500979999999</v>
      </c>
      <c r="L60">
        <v>2575</v>
      </c>
      <c r="M60">
        <v>2636.4499510000001</v>
      </c>
      <c r="N60">
        <v>2505.3979490000002</v>
      </c>
      <c r="O60">
        <v>362813</v>
      </c>
      <c r="Z60" s="5">
        <v>44707</v>
      </c>
      <c r="AA60" s="6">
        <f>INDEX($A:$P,MATCH(Z60,$A:$A,0),MATCH($AA$1,$A$1:$P$1,0))</f>
        <v>2636.4499510000001</v>
      </c>
      <c r="AB60" s="6">
        <f>INDEX($A:$P,MATCH(Z60,$A:$A,0),MATCH($AB$1,$A$1:$P$1,0))</f>
        <v>308.89999399999999</v>
      </c>
    </row>
    <row r="61" spans="1:28" x14ac:dyDescent="0.3">
      <c r="A61" s="1">
        <v>44708</v>
      </c>
      <c r="C61">
        <v>325.29998799999998</v>
      </c>
      <c r="D61">
        <v>330</v>
      </c>
      <c r="E61">
        <v>315</v>
      </c>
      <c r="F61">
        <v>328.10000600000001</v>
      </c>
      <c r="G61">
        <v>328.10000600000001</v>
      </c>
      <c r="H61">
        <v>25197002</v>
      </c>
      <c r="J61">
        <v>2645.1499020000001</v>
      </c>
      <c r="K61">
        <v>2726.8999020000001</v>
      </c>
      <c r="L61">
        <v>2638</v>
      </c>
      <c r="M61">
        <v>2719.8000489999999</v>
      </c>
      <c r="N61">
        <v>2584.6049800000001</v>
      </c>
      <c r="O61">
        <v>654718</v>
      </c>
      <c r="Z61" s="5">
        <v>44708</v>
      </c>
      <c r="AA61" s="6">
        <f>INDEX($A:$P,MATCH(Z61,$A:$A,0),MATCH($AA$1,$A$1:$P$1,0))</f>
        <v>2719.8000489999999</v>
      </c>
      <c r="AB61" s="6">
        <f>INDEX($A:$P,MATCH(Z61,$A:$A,0),MATCH($AB$1,$A$1:$P$1,0))</f>
        <v>325.29998799999998</v>
      </c>
    </row>
    <row r="62" spans="1:28" x14ac:dyDescent="0.3">
      <c r="A62" s="1">
        <v>44711</v>
      </c>
      <c r="C62">
        <v>338.70001200000002</v>
      </c>
      <c r="D62">
        <v>344.5</v>
      </c>
      <c r="E62">
        <v>326</v>
      </c>
      <c r="F62">
        <v>340.25</v>
      </c>
      <c r="G62">
        <v>340.25</v>
      </c>
      <c r="H62">
        <v>39394054</v>
      </c>
      <c r="J62">
        <v>2724</v>
      </c>
      <c r="K62">
        <v>2787.4499510000001</v>
      </c>
      <c r="L62">
        <v>2724</v>
      </c>
      <c r="M62">
        <v>2770.5500489999999</v>
      </c>
      <c r="N62">
        <v>2632.8325199999999</v>
      </c>
      <c r="O62">
        <v>924244</v>
      </c>
      <c r="Z62" s="5">
        <v>44711</v>
      </c>
      <c r="AA62" s="6">
        <f>INDEX($A:$P,MATCH(Z62,$A:$A,0),MATCH($AA$1,$A$1:$P$1,0))</f>
        <v>2770.5500489999999</v>
      </c>
      <c r="AB62" s="6">
        <f>INDEX($A:$P,MATCH(Z62,$A:$A,0),MATCH($AB$1,$A$1:$P$1,0))</f>
        <v>338.70001200000002</v>
      </c>
    </row>
    <row r="63" spans="1:28" x14ac:dyDescent="0.3">
      <c r="A63" s="1">
        <v>44712</v>
      </c>
      <c r="C63">
        <v>323.25</v>
      </c>
      <c r="D63">
        <v>323.25</v>
      </c>
      <c r="E63">
        <v>323.25</v>
      </c>
      <c r="F63">
        <v>323.25</v>
      </c>
      <c r="G63">
        <v>323.25</v>
      </c>
      <c r="H63">
        <v>64390369</v>
      </c>
      <c r="J63">
        <v>2774.8999020000001</v>
      </c>
      <c r="K63">
        <v>2809.9499510000001</v>
      </c>
      <c r="L63">
        <v>2752.1499020000001</v>
      </c>
      <c r="M63">
        <v>2773.8999020000001</v>
      </c>
      <c r="N63">
        <v>2636.015625</v>
      </c>
      <c r="O63">
        <v>1859231</v>
      </c>
      <c r="Z63" s="5">
        <v>44712</v>
      </c>
      <c r="AA63" s="6">
        <f>INDEX($A:$P,MATCH(Z63,$A:$A,0),MATCH($AA$1,$A$1:$P$1,0))</f>
        <v>2773.8999020000001</v>
      </c>
      <c r="AB63" s="6">
        <f>INDEX($A:$P,MATCH(Z63,$A:$A,0),MATCH($AB$1,$A$1:$P$1,0))</f>
        <v>323.25</v>
      </c>
    </row>
    <row r="64" spans="1:28" x14ac:dyDescent="0.3">
      <c r="A64" s="1">
        <v>44713</v>
      </c>
      <c r="C64">
        <v>310.5</v>
      </c>
      <c r="D64">
        <v>316.70001200000002</v>
      </c>
      <c r="E64">
        <v>307.10000600000001</v>
      </c>
      <c r="F64">
        <v>307.10000600000001</v>
      </c>
      <c r="G64">
        <v>307.10000600000001</v>
      </c>
      <c r="H64">
        <v>12531939</v>
      </c>
      <c r="J64">
        <v>2799.8999020000001</v>
      </c>
      <c r="K64">
        <v>2799.8999020000001</v>
      </c>
      <c r="L64">
        <v>2731.5</v>
      </c>
      <c r="M64">
        <v>2757.6000979999999</v>
      </c>
      <c r="N64">
        <v>2620.5261230000001</v>
      </c>
      <c r="O64">
        <v>430807</v>
      </c>
      <c r="Z64" s="5">
        <v>44713</v>
      </c>
      <c r="AA64" s="6">
        <f>INDEX($A:$P,MATCH(Z64,$A:$A,0),MATCH($AA$1,$A$1:$P$1,0))</f>
        <v>2757.6000979999999</v>
      </c>
      <c r="AB64" s="6">
        <f>INDEX($A:$P,MATCH(Z64,$A:$A,0),MATCH($AB$1,$A$1:$P$1,0))</f>
        <v>310.5</v>
      </c>
    </row>
    <row r="65" spans="1:28" x14ac:dyDescent="0.3">
      <c r="A65" s="1">
        <v>44714</v>
      </c>
      <c r="C65">
        <v>291.75</v>
      </c>
      <c r="D65">
        <v>313</v>
      </c>
      <c r="E65">
        <v>291.75</v>
      </c>
      <c r="F65">
        <v>295.35000600000001</v>
      </c>
      <c r="G65">
        <v>295.35000600000001</v>
      </c>
      <c r="H65">
        <v>53627093</v>
      </c>
      <c r="J65">
        <v>2730.6000979999999</v>
      </c>
      <c r="K65">
        <v>2733</v>
      </c>
      <c r="L65">
        <v>2640.3999020000001</v>
      </c>
      <c r="M65">
        <v>2663.1000979999999</v>
      </c>
      <c r="N65">
        <v>2530.7231449999999</v>
      </c>
      <c r="O65">
        <v>1093645</v>
      </c>
      <c r="Z65" s="5">
        <v>44714</v>
      </c>
      <c r="AA65" s="6">
        <f>INDEX($A:$P,MATCH(Z65,$A:$A,0),MATCH($AA$1,$A$1:$P$1,0))</f>
        <v>2663.1000979999999</v>
      </c>
      <c r="AB65" s="6">
        <f>INDEX($A:$P,MATCH(Z65,$A:$A,0),MATCH($AB$1,$A$1:$P$1,0))</f>
        <v>291.75</v>
      </c>
    </row>
    <row r="66" spans="1:28" x14ac:dyDescent="0.3">
      <c r="A66" s="1">
        <v>44715</v>
      </c>
      <c r="C66">
        <v>301</v>
      </c>
      <c r="D66">
        <v>302.79998799999998</v>
      </c>
      <c r="E66">
        <v>282</v>
      </c>
      <c r="F66">
        <v>284.10000600000001</v>
      </c>
      <c r="G66">
        <v>284.10000600000001</v>
      </c>
      <c r="H66">
        <v>20811415</v>
      </c>
      <c r="J66">
        <v>2675</v>
      </c>
      <c r="K66">
        <v>2688.6999510000001</v>
      </c>
      <c r="L66">
        <v>2575.1499020000001</v>
      </c>
      <c r="M66">
        <v>2583.75</v>
      </c>
      <c r="N66">
        <v>2455.3176269999999</v>
      </c>
      <c r="O66">
        <v>753558</v>
      </c>
      <c r="Z66" s="5">
        <v>44715</v>
      </c>
      <c r="AA66" s="6">
        <f>INDEX($A:$P,MATCH(Z66,$A:$A,0),MATCH($AA$1,$A$1:$P$1,0))</f>
        <v>2583.75</v>
      </c>
      <c r="AB66" s="6">
        <f>INDEX($A:$P,MATCH(Z66,$A:$A,0),MATCH($AB$1,$A$1:$P$1,0))</f>
        <v>301</v>
      </c>
    </row>
    <row r="67" spans="1:28" x14ac:dyDescent="0.3">
      <c r="A67" s="1">
        <v>44718</v>
      </c>
      <c r="C67">
        <v>285</v>
      </c>
      <c r="D67">
        <v>298.29998799999998</v>
      </c>
      <c r="E67">
        <v>277.10000600000001</v>
      </c>
      <c r="F67">
        <v>298.29998799999998</v>
      </c>
      <c r="G67">
        <v>298.29998799999998</v>
      </c>
      <c r="H67">
        <v>12813174</v>
      </c>
      <c r="J67">
        <v>2565</v>
      </c>
      <c r="K67">
        <v>2594.4499510000001</v>
      </c>
      <c r="L67">
        <v>2525.1000979999999</v>
      </c>
      <c r="M67">
        <v>2540.75</v>
      </c>
      <c r="N67">
        <v>2414.455078</v>
      </c>
      <c r="O67">
        <v>965347</v>
      </c>
      <c r="Z67" s="5">
        <v>44718</v>
      </c>
      <c r="AA67" s="6">
        <f>INDEX($A:$P,MATCH(Z67,$A:$A,0),MATCH($AA$1,$A$1:$P$1,0))</f>
        <v>2540.75</v>
      </c>
      <c r="AB67" s="6">
        <f>INDEX($A:$P,MATCH(Z67,$A:$A,0),MATCH($AB$1,$A$1:$P$1,0))</f>
        <v>285</v>
      </c>
    </row>
    <row r="68" spans="1:28" x14ac:dyDescent="0.3">
      <c r="A68" s="1">
        <v>44719</v>
      </c>
      <c r="C68">
        <v>299.95001200000002</v>
      </c>
      <c r="D68">
        <v>302.79998799999998</v>
      </c>
      <c r="E68">
        <v>288.39999399999999</v>
      </c>
      <c r="F68">
        <v>291.39999399999999</v>
      </c>
      <c r="G68">
        <v>291.39999399999999</v>
      </c>
      <c r="H68">
        <v>15824786</v>
      </c>
      <c r="J68">
        <v>2525</v>
      </c>
      <c r="K68">
        <v>2578.0500489999999</v>
      </c>
      <c r="L68">
        <v>2500</v>
      </c>
      <c r="M68">
        <v>2570.8500979999999</v>
      </c>
      <c r="N68">
        <v>2443.0588379999999</v>
      </c>
      <c r="O68">
        <v>550257</v>
      </c>
      <c r="Z68" s="5">
        <v>44719</v>
      </c>
      <c r="AA68" s="6">
        <f>INDEX($A:$P,MATCH(Z68,$A:$A,0),MATCH($AA$1,$A$1:$P$1,0))</f>
        <v>2570.8500979999999</v>
      </c>
      <c r="AB68" s="6">
        <f>INDEX($A:$P,MATCH(Z68,$A:$A,0),MATCH($AB$1,$A$1:$P$1,0))</f>
        <v>299.95001200000002</v>
      </c>
    </row>
    <row r="69" spans="1:28" x14ac:dyDescent="0.3">
      <c r="A69" s="1">
        <v>44720</v>
      </c>
      <c r="C69">
        <v>295.54998799999998</v>
      </c>
      <c r="D69">
        <v>296.79998799999998</v>
      </c>
      <c r="E69">
        <v>282.20001200000002</v>
      </c>
      <c r="F69">
        <v>284.5</v>
      </c>
      <c r="G69">
        <v>284.5</v>
      </c>
      <c r="H69">
        <v>9228822</v>
      </c>
      <c r="J69">
        <v>2584</v>
      </c>
      <c r="K69">
        <v>2617.0500489999999</v>
      </c>
      <c r="L69">
        <v>2553.3500979999999</v>
      </c>
      <c r="M69">
        <v>2585.9499510000001</v>
      </c>
      <c r="N69">
        <v>2457.408203</v>
      </c>
      <c r="O69">
        <v>539786</v>
      </c>
      <c r="Z69" s="5">
        <v>44720</v>
      </c>
      <c r="AA69" s="6">
        <f>INDEX($A:$P,MATCH(Z69,$A:$A,0),MATCH($AA$1,$A$1:$P$1,0))</f>
        <v>2585.9499510000001</v>
      </c>
      <c r="AB69" s="6">
        <f>INDEX($A:$P,MATCH(Z69,$A:$A,0),MATCH($AB$1,$A$1:$P$1,0))</f>
        <v>295.54998799999998</v>
      </c>
    </row>
    <row r="70" spans="1:28" x14ac:dyDescent="0.3">
      <c r="A70" s="1">
        <v>44721</v>
      </c>
      <c r="C70">
        <v>284.45001200000002</v>
      </c>
      <c r="D70">
        <v>290.5</v>
      </c>
      <c r="E70">
        <v>277.10000600000001</v>
      </c>
      <c r="F70">
        <v>287.75</v>
      </c>
      <c r="G70">
        <v>287.75</v>
      </c>
      <c r="H70">
        <v>9514178</v>
      </c>
      <c r="J70">
        <v>2579.9499510000001</v>
      </c>
      <c r="K70">
        <v>2603.5500489999999</v>
      </c>
      <c r="L70">
        <v>2560</v>
      </c>
      <c r="M70">
        <v>2598.1000979999999</v>
      </c>
      <c r="N70">
        <v>2468.954346</v>
      </c>
      <c r="O70">
        <v>327503</v>
      </c>
      <c r="Z70" s="5">
        <v>44721</v>
      </c>
      <c r="AA70" s="6">
        <f>INDEX($A:$P,MATCH(Z70,$A:$A,0),MATCH($AA$1,$A$1:$P$1,0))</f>
        <v>2598.1000979999999</v>
      </c>
      <c r="AB70" s="6">
        <f>INDEX($A:$P,MATCH(Z70,$A:$A,0),MATCH($AB$1,$A$1:$P$1,0))</f>
        <v>284.45001200000002</v>
      </c>
    </row>
    <row r="71" spans="1:28" x14ac:dyDescent="0.3">
      <c r="A71" s="1">
        <v>44722</v>
      </c>
      <c r="C71">
        <v>282.79998799999998</v>
      </c>
      <c r="D71">
        <v>285.35000600000001</v>
      </c>
      <c r="E71">
        <v>279</v>
      </c>
      <c r="F71">
        <v>280.10000600000001</v>
      </c>
      <c r="G71">
        <v>280.10000600000001</v>
      </c>
      <c r="H71">
        <v>7245446</v>
      </c>
      <c r="J71">
        <v>2580</v>
      </c>
      <c r="K71">
        <v>2614.3999020000001</v>
      </c>
      <c r="L71">
        <v>2575.4499510000001</v>
      </c>
      <c r="M71">
        <v>2601.9499510000001</v>
      </c>
      <c r="N71">
        <v>2472.6130370000001</v>
      </c>
      <c r="O71">
        <v>324452</v>
      </c>
      <c r="Z71" s="5">
        <v>44722</v>
      </c>
      <c r="AA71" s="6">
        <f>INDEX($A:$P,MATCH(Z71,$A:$A,0),MATCH($AA$1,$A$1:$P$1,0))</f>
        <v>2601.9499510000001</v>
      </c>
      <c r="AB71" s="6">
        <f>INDEX($A:$P,MATCH(Z71,$A:$A,0),MATCH($AB$1,$A$1:$P$1,0))</f>
        <v>282.79998799999998</v>
      </c>
    </row>
    <row r="72" spans="1:28" x14ac:dyDescent="0.3">
      <c r="A72" s="1">
        <v>44725</v>
      </c>
      <c r="C72">
        <v>269.5</v>
      </c>
      <c r="D72">
        <v>275.5</v>
      </c>
      <c r="E72">
        <v>266.10000600000001</v>
      </c>
      <c r="F72">
        <v>266.20001200000002</v>
      </c>
      <c r="G72">
        <v>266.20001200000002</v>
      </c>
      <c r="H72">
        <v>11186749</v>
      </c>
      <c r="J72">
        <v>2560</v>
      </c>
      <c r="K72">
        <v>2612.3000489999999</v>
      </c>
      <c r="L72">
        <v>2536.5500489999999</v>
      </c>
      <c r="M72">
        <v>2598.8000489999999</v>
      </c>
      <c r="N72">
        <v>2469.6196289999998</v>
      </c>
      <c r="O72">
        <v>625967</v>
      </c>
      <c r="Z72" s="5">
        <v>44725</v>
      </c>
      <c r="AA72" s="6">
        <f>INDEX($A:$P,MATCH(Z72,$A:$A,0),MATCH($AA$1,$A$1:$P$1,0))</f>
        <v>2598.8000489999999</v>
      </c>
      <c r="AB72" s="6">
        <f>INDEX($A:$P,MATCH(Z72,$A:$A,0),MATCH($AB$1,$A$1:$P$1,0))</f>
        <v>269.5</v>
      </c>
    </row>
    <row r="73" spans="1:28" x14ac:dyDescent="0.3">
      <c r="A73" s="1">
        <v>44726</v>
      </c>
      <c r="C73">
        <v>261.60000600000001</v>
      </c>
      <c r="D73">
        <v>279.5</v>
      </c>
      <c r="E73">
        <v>261.60000600000001</v>
      </c>
      <c r="F73">
        <v>266.64999399999999</v>
      </c>
      <c r="G73">
        <v>266.64999399999999</v>
      </c>
      <c r="H73">
        <v>16393298</v>
      </c>
      <c r="J73">
        <v>2595.9499510000001</v>
      </c>
      <c r="K73">
        <v>2614.8999020000001</v>
      </c>
      <c r="L73">
        <v>2530</v>
      </c>
      <c r="M73">
        <v>2557.6000979999999</v>
      </c>
      <c r="N73">
        <v>2430.467529</v>
      </c>
      <c r="O73">
        <v>509259</v>
      </c>
      <c r="Z73" s="5">
        <v>44726</v>
      </c>
      <c r="AA73" s="6">
        <f>INDEX($A:$P,MATCH(Z73,$A:$A,0),MATCH($AA$1,$A$1:$P$1,0))</f>
        <v>2557.6000979999999</v>
      </c>
      <c r="AB73" s="6">
        <f>INDEX($A:$P,MATCH(Z73,$A:$A,0),MATCH($AB$1,$A$1:$P$1,0))</f>
        <v>261.60000600000001</v>
      </c>
    </row>
    <row r="74" spans="1:28" x14ac:dyDescent="0.3">
      <c r="A74" s="1">
        <v>44727</v>
      </c>
      <c r="C74">
        <v>270</v>
      </c>
      <c r="D74">
        <v>275.70001200000002</v>
      </c>
      <c r="E74">
        <v>270</v>
      </c>
      <c r="F74">
        <v>272.04998799999998</v>
      </c>
      <c r="G74">
        <v>272.04998799999998</v>
      </c>
      <c r="H74">
        <v>7446565</v>
      </c>
      <c r="J74">
        <v>2567</v>
      </c>
      <c r="K74">
        <v>2628</v>
      </c>
      <c r="L74">
        <v>2557.6000979999999</v>
      </c>
      <c r="M74">
        <v>2605.3000489999999</v>
      </c>
      <c r="N74">
        <v>2475.796143</v>
      </c>
      <c r="O74">
        <v>673444</v>
      </c>
      <c r="Z74" s="5">
        <v>44727</v>
      </c>
      <c r="AA74" s="6">
        <f>INDEX($A:$P,MATCH(Z74,$A:$A,0),MATCH($AA$1,$A$1:$P$1,0))</f>
        <v>2605.3000489999999</v>
      </c>
      <c r="AB74" s="6">
        <f>INDEX($A:$P,MATCH(Z74,$A:$A,0),MATCH($AB$1,$A$1:$P$1,0))</f>
        <v>270</v>
      </c>
    </row>
    <row r="75" spans="1:28" x14ac:dyDescent="0.3">
      <c r="A75" s="1">
        <v>44728</v>
      </c>
      <c r="C75">
        <v>280</v>
      </c>
      <c r="D75">
        <v>282.54998799999998</v>
      </c>
      <c r="E75">
        <v>258.45001200000002</v>
      </c>
      <c r="F75">
        <v>259.29998799999998</v>
      </c>
      <c r="G75">
        <v>259.29998799999998</v>
      </c>
      <c r="H75">
        <v>11754891</v>
      </c>
      <c r="J75">
        <v>2620.5</v>
      </c>
      <c r="K75">
        <v>2624.25</v>
      </c>
      <c r="L75">
        <v>2511.0500489999999</v>
      </c>
      <c r="M75">
        <v>2519.0500489999999</v>
      </c>
      <c r="N75">
        <v>2393.83374</v>
      </c>
      <c r="O75">
        <v>493824</v>
      </c>
      <c r="Z75" s="5">
        <v>44728</v>
      </c>
      <c r="AA75" s="6">
        <f>INDEX($A:$P,MATCH(Z75,$A:$A,0),MATCH($AA$1,$A$1:$P$1,0))</f>
        <v>2519.0500489999999</v>
      </c>
      <c r="AB75" s="6">
        <f>INDEX($A:$P,MATCH(Z75,$A:$A,0),MATCH($AB$1,$A$1:$P$1,0))</f>
        <v>280</v>
      </c>
    </row>
    <row r="76" spans="1:28" x14ac:dyDescent="0.3">
      <c r="A76" s="1">
        <v>44729</v>
      </c>
      <c r="C76">
        <v>258.5</v>
      </c>
      <c r="D76">
        <v>267.79998799999998</v>
      </c>
      <c r="E76">
        <v>249.35000600000001</v>
      </c>
      <c r="F76">
        <v>261.29998799999998</v>
      </c>
      <c r="G76">
        <v>261.29998799999998</v>
      </c>
      <c r="H76">
        <v>16205333</v>
      </c>
      <c r="J76">
        <v>2518</v>
      </c>
      <c r="K76">
        <v>2518</v>
      </c>
      <c r="L76">
        <v>2455.6499020000001</v>
      </c>
      <c r="M76">
        <v>2467.3999020000001</v>
      </c>
      <c r="N76">
        <v>2344.7509770000001</v>
      </c>
      <c r="O76">
        <v>725864</v>
      </c>
      <c r="Z76" s="5">
        <v>44729</v>
      </c>
      <c r="AA76" s="6">
        <f>INDEX($A:$P,MATCH(Z76,$A:$A,0),MATCH($AA$1,$A$1:$P$1,0))</f>
        <v>2467.3999020000001</v>
      </c>
      <c r="AB76" s="6">
        <f>INDEX($A:$P,MATCH(Z76,$A:$A,0),MATCH($AB$1,$A$1:$P$1,0))</f>
        <v>258.5</v>
      </c>
    </row>
    <row r="77" spans="1:28" x14ac:dyDescent="0.3">
      <c r="A77" s="1">
        <v>44732</v>
      </c>
      <c r="C77">
        <v>265.35000600000001</v>
      </c>
      <c r="D77">
        <v>266.79998799999998</v>
      </c>
      <c r="E77">
        <v>248.25</v>
      </c>
      <c r="F77">
        <v>248.25</v>
      </c>
      <c r="G77">
        <v>248.25</v>
      </c>
      <c r="H77">
        <v>7398184</v>
      </c>
      <c r="J77">
        <v>2455.1000979999999</v>
      </c>
      <c r="K77">
        <v>2501.4499510000001</v>
      </c>
      <c r="L77">
        <v>2433.8999020000001</v>
      </c>
      <c r="M77">
        <v>2452.5500489999999</v>
      </c>
      <c r="N77">
        <v>2330.639404</v>
      </c>
      <c r="O77">
        <v>377385</v>
      </c>
      <c r="Z77" s="5">
        <v>44732</v>
      </c>
      <c r="AA77" s="6">
        <f>INDEX($A:$P,MATCH(Z77,$A:$A,0),MATCH($AA$1,$A$1:$P$1,0))</f>
        <v>2452.5500489999999</v>
      </c>
      <c r="AB77" s="6">
        <f>INDEX($A:$P,MATCH(Z77,$A:$A,0),MATCH($AB$1,$A$1:$P$1,0))</f>
        <v>265.35000600000001</v>
      </c>
    </row>
    <row r="78" spans="1:28" x14ac:dyDescent="0.3">
      <c r="A78" s="1">
        <v>44733</v>
      </c>
      <c r="C78">
        <v>248.35000600000001</v>
      </c>
      <c r="D78">
        <v>258.64999399999999</v>
      </c>
      <c r="E78">
        <v>238.300003</v>
      </c>
      <c r="F78">
        <v>254.050003</v>
      </c>
      <c r="G78">
        <v>254.050003</v>
      </c>
      <c r="H78">
        <v>17701689</v>
      </c>
      <c r="J78">
        <v>2465</v>
      </c>
      <c r="K78">
        <v>2524.8500979999999</v>
      </c>
      <c r="L78">
        <v>2465</v>
      </c>
      <c r="M78">
        <v>2499.1999510000001</v>
      </c>
      <c r="N78">
        <v>2374.9704590000001</v>
      </c>
      <c r="O78">
        <v>381831</v>
      </c>
      <c r="Z78" s="5">
        <v>44733</v>
      </c>
      <c r="AA78" s="6">
        <f>INDEX($A:$P,MATCH(Z78,$A:$A,0),MATCH($AA$1,$A$1:$P$1,0))</f>
        <v>2499.1999510000001</v>
      </c>
      <c r="AB78" s="6">
        <f>INDEX($A:$P,MATCH(Z78,$A:$A,0),MATCH($AB$1,$A$1:$P$1,0))</f>
        <v>248.35000600000001</v>
      </c>
    </row>
    <row r="79" spans="1:28" x14ac:dyDescent="0.3">
      <c r="A79" s="1">
        <v>44734</v>
      </c>
      <c r="C79">
        <v>251.89999399999999</v>
      </c>
      <c r="D79">
        <v>253</v>
      </c>
      <c r="E79">
        <v>245.10000600000001</v>
      </c>
      <c r="F79">
        <v>247.300003</v>
      </c>
      <c r="G79">
        <v>247.300003</v>
      </c>
      <c r="H79">
        <v>7198933</v>
      </c>
      <c r="J79">
        <v>2495</v>
      </c>
      <c r="K79">
        <v>2553.5</v>
      </c>
      <c r="L79">
        <v>2480</v>
      </c>
      <c r="M79">
        <v>2524.4499510000001</v>
      </c>
      <c r="N79">
        <v>2398.9653320000002</v>
      </c>
      <c r="O79">
        <v>873408</v>
      </c>
      <c r="Z79" s="5">
        <v>44734</v>
      </c>
      <c r="AA79" s="6">
        <f>INDEX($A:$P,MATCH(Z79,$A:$A,0),MATCH($AA$1,$A$1:$P$1,0))</f>
        <v>2524.4499510000001</v>
      </c>
      <c r="AB79" s="6">
        <f>INDEX($A:$P,MATCH(Z79,$A:$A,0),MATCH($AB$1,$A$1:$P$1,0))</f>
        <v>251.89999399999999</v>
      </c>
    </row>
    <row r="80" spans="1:28" x14ac:dyDescent="0.3">
      <c r="A80" s="1">
        <v>44735</v>
      </c>
      <c r="C80">
        <v>249.050003</v>
      </c>
      <c r="D80">
        <v>258.70001200000002</v>
      </c>
      <c r="E80">
        <v>247.5</v>
      </c>
      <c r="F80">
        <v>252.60000600000001</v>
      </c>
      <c r="G80">
        <v>252.60000600000001</v>
      </c>
      <c r="H80">
        <v>8083950</v>
      </c>
      <c r="J80">
        <v>2572.5500489999999</v>
      </c>
      <c r="K80">
        <v>2686.6499020000001</v>
      </c>
      <c r="L80">
        <v>2572.5500489999999</v>
      </c>
      <c r="M80">
        <v>2674.1000979999999</v>
      </c>
      <c r="N80">
        <v>2541.1767580000001</v>
      </c>
      <c r="O80">
        <v>1846048</v>
      </c>
      <c r="Z80" s="5">
        <v>44735</v>
      </c>
      <c r="AA80" s="6">
        <f>INDEX($A:$P,MATCH(Z80,$A:$A,0),MATCH($AA$1,$A$1:$P$1,0))</f>
        <v>2674.1000979999999</v>
      </c>
      <c r="AB80" s="6">
        <f>INDEX($A:$P,MATCH(Z80,$A:$A,0),MATCH($AB$1,$A$1:$P$1,0))</f>
        <v>249.050003</v>
      </c>
    </row>
    <row r="81" spans="1:28" x14ac:dyDescent="0.3">
      <c r="A81" s="1">
        <v>44736</v>
      </c>
      <c r="C81">
        <v>256</v>
      </c>
      <c r="D81">
        <v>265.20001200000002</v>
      </c>
      <c r="E81">
        <v>256</v>
      </c>
      <c r="F81">
        <v>264.45001200000002</v>
      </c>
      <c r="G81">
        <v>264.45001200000002</v>
      </c>
      <c r="H81">
        <v>9307365</v>
      </c>
      <c r="J81">
        <v>2715</v>
      </c>
      <c r="K81">
        <v>2767.6999510000001</v>
      </c>
      <c r="L81">
        <v>2690.1999510000001</v>
      </c>
      <c r="M81">
        <v>2759.9499510000001</v>
      </c>
      <c r="N81">
        <v>2622.7592770000001</v>
      </c>
      <c r="O81">
        <v>1354569</v>
      </c>
      <c r="Z81" s="5">
        <v>44736</v>
      </c>
      <c r="AA81" s="6">
        <f>INDEX($A:$P,MATCH(Z81,$A:$A,0),MATCH($AA$1,$A$1:$P$1,0))</f>
        <v>2759.9499510000001</v>
      </c>
      <c r="AB81" s="6">
        <f>INDEX($A:$P,MATCH(Z81,$A:$A,0),MATCH($AB$1,$A$1:$P$1,0))</f>
        <v>256</v>
      </c>
    </row>
    <row r="82" spans="1:28" x14ac:dyDescent="0.3">
      <c r="A82" s="1">
        <v>44739</v>
      </c>
      <c r="C82">
        <v>270.95001200000002</v>
      </c>
      <c r="D82">
        <v>277.64999399999999</v>
      </c>
      <c r="E82">
        <v>268.20001200000002</v>
      </c>
      <c r="F82">
        <v>272.89999399999999</v>
      </c>
      <c r="G82">
        <v>272.89999399999999</v>
      </c>
      <c r="H82">
        <v>12506733</v>
      </c>
      <c r="J82">
        <v>2787.5500489999999</v>
      </c>
      <c r="K82">
        <v>2809</v>
      </c>
      <c r="L82">
        <v>2730.6000979999999</v>
      </c>
      <c r="M82">
        <v>2755.5</v>
      </c>
      <c r="N82">
        <v>2618.5302729999999</v>
      </c>
      <c r="O82">
        <v>1005184</v>
      </c>
      <c r="Z82" s="5">
        <v>44739</v>
      </c>
      <c r="AA82" s="6">
        <f>INDEX($A:$P,MATCH(Z82,$A:$A,0),MATCH($AA$1,$A$1:$P$1,0))</f>
        <v>2755.5</v>
      </c>
      <c r="AB82" s="6">
        <f>INDEX($A:$P,MATCH(Z82,$A:$A,0),MATCH($AB$1,$A$1:$P$1,0))</f>
        <v>270.95001200000002</v>
      </c>
    </row>
    <row r="83" spans="1:28" x14ac:dyDescent="0.3">
      <c r="A83" s="1">
        <v>44740</v>
      </c>
      <c r="C83">
        <v>270.04998799999998</v>
      </c>
      <c r="D83">
        <v>274.79998799999998</v>
      </c>
      <c r="E83">
        <v>267.75</v>
      </c>
      <c r="F83">
        <v>270.25</v>
      </c>
      <c r="G83">
        <v>270.25</v>
      </c>
      <c r="H83">
        <v>7019512</v>
      </c>
      <c r="J83">
        <v>2748</v>
      </c>
      <c r="K83">
        <v>2792.6999510000001</v>
      </c>
      <c r="L83">
        <v>2730</v>
      </c>
      <c r="M83">
        <v>2766.6999510000001</v>
      </c>
      <c r="N83">
        <v>2629.1735840000001</v>
      </c>
      <c r="O83">
        <v>714029</v>
      </c>
      <c r="Z83" s="5">
        <v>44740</v>
      </c>
      <c r="AA83" s="6">
        <f>INDEX($A:$P,MATCH(Z83,$A:$A,0),MATCH($AA$1,$A$1:$P$1,0))</f>
        <v>2766.6999510000001</v>
      </c>
      <c r="AB83" s="6">
        <f>INDEX($A:$P,MATCH(Z83,$A:$A,0),MATCH($AB$1,$A$1:$P$1,0))</f>
        <v>270.04998799999998</v>
      </c>
    </row>
    <row r="84" spans="1:28" x14ac:dyDescent="0.3">
      <c r="A84" s="1">
        <v>44741</v>
      </c>
      <c r="C84">
        <v>267.95001200000002</v>
      </c>
      <c r="D84">
        <v>274.39999399999999</v>
      </c>
      <c r="E84">
        <v>267.25</v>
      </c>
      <c r="F84">
        <v>270.04998799999998</v>
      </c>
      <c r="G84">
        <v>270.04998799999998</v>
      </c>
      <c r="H84">
        <v>5972377</v>
      </c>
      <c r="J84">
        <v>2740.0500489999999</v>
      </c>
      <c r="K84">
        <v>2784.75</v>
      </c>
      <c r="L84">
        <v>2730</v>
      </c>
      <c r="M84">
        <v>2752.3999020000001</v>
      </c>
      <c r="N84">
        <v>2615.5844729999999</v>
      </c>
      <c r="O84">
        <v>653929</v>
      </c>
      <c r="Z84" s="5">
        <v>44741</v>
      </c>
      <c r="AA84" s="6">
        <f>INDEX($A:$P,MATCH(Z84,$A:$A,0),MATCH($AA$1,$A$1:$P$1,0))</f>
        <v>2752.3999020000001</v>
      </c>
      <c r="AB84" s="6">
        <f>INDEX($A:$P,MATCH(Z84,$A:$A,0),MATCH($AB$1,$A$1:$P$1,0))</f>
        <v>267.95001200000002</v>
      </c>
    </row>
    <row r="85" spans="1:28" x14ac:dyDescent="0.3">
      <c r="A85" s="1">
        <v>44742</v>
      </c>
      <c r="C85">
        <v>272</v>
      </c>
      <c r="D85">
        <v>275.64999399999999</v>
      </c>
      <c r="E85">
        <v>261.10000600000001</v>
      </c>
      <c r="F85">
        <v>262.85000600000001</v>
      </c>
      <c r="G85">
        <v>262.85000600000001</v>
      </c>
      <c r="H85">
        <v>5613740</v>
      </c>
      <c r="J85">
        <v>2745</v>
      </c>
      <c r="K85">
        <v>2773</v>
      </c>
      <c r="L85">
        <v>2714</v>
      </c>
      <c r="M85">
        <v>2719.6999510000001</v>
      </c>
      <c r="N85">
        <v>2584.5095209999999</v>
      </c>
      <c r="O85">
        <v>643735</v>
      </c>
      <c r="Z85" s="5">
        <v>44742</v>
      </c>
      <c r="AA85" s="6">
        <f>INDEX($A:$P,MATCH(Z85,$A:$A,0),MATCH($AA$1,$A$1:$P$1,0))</f>
        <v>2719.6999510000001</v>
      </c>
      <c r="AB85" s="6">
        <f>INDEX($A:$P,MATCH(Z85,$A:$A,0),MATCH($AB$1,$A$1:$P$1,0))</f>
        <v>272</v>
      </c>
    </row>
    <row r="86" spans="1:28" x14ac:dyDescent="0.3">
      <c r="A86" s="1">
        <v>44743</v>
      </c>
      <c r="C86">
        <v>262.85000600000001</v>
      </c>
      <c r="D86">
        <v>264.89999399999999</v>
      </c>
      <c r="E86">
        <v>255.10000600000001</v>
      </c>
      <c r="F86">
        <v>263.25</v>
      </c>
      <c r="G86">
        <v>263.25</v>
      </c>
      <c r="H86">
        <v>4812767</v>
      </c>
      <c r="J86">
        <v>2715</v>
      </c>
      <c r="K86">
        <v>2770</v>
      </c>
      <c r="L86">
        <v>2683.3500979999999</v>
      </c>
      <c r="M86">
        <v>2763.8000489999999</v>
      </c>
      <c r="N86">
        <v>2626.4177249999998</v>
      </c>
      <c r="O86">
        <v>393346</v>
      </c>
      <c r="Z86" s="5">
        <v>44743</v>
      </c>
      <c r="AA86" s="6">
        <f>INDEX($A:$P,MATCH(Z86,$A:$A,0),MATCH($AA$1,$A$1:$P$1,0))</f>
        <v>2763.8000489999999</v>
      </c>
      <c r="AB86" s="6">
        <f>INDEX($A:$P,MATCH(Z86,$A:$A,0),MATCH($AB$1,$A$1:$P$1,0))</f>
        <v>262.85000600000001</v>
      </c>
    </row>
    <row r="87" spans="1:28" x14ac:dyDescent="0.3">
      <c r="A87" s="1">
        <v>44746</v>
      </c>
      <c r="C87">
        <v>263.89999399999999</v>
      </c>
      <c r="D87">
        <v>266.5</v>
      </c>
      <c r="E87">
        <v>261</v>
      </c>
      <c r="F87">
        <v>261.70001200000002</v>
      </c>
      <c r="G87">
        <v>261.70001200000002</v>
      </c>
      <c r="H87">
        <v>3109382</v>
      </c>
      <c r="J87">
        <v>2750</v>
      </c>
      <c r="K87">
        <v>2799</v>
      </c>
      <c r="L87">
        <v>2738.8999020000001</v>
      </c>
      <c r="M87">
        <v>2760.4499510000001</v>
      </c>
      <c r="N87">
        <v>2623.2341310000002</v>
      </c>
      <c r="O87">
        <v>499627</v>
      </c>
      <c r="Z87" s="5">
        <v>44746</v>
      </c>
      <c r="AA87" s="6">
        <f>INDEX($A:$P,MATCH(Z87,$A:$A,0),MATCH($AA$1,$A$1:$P$1,0))</f>
        <v>2760.4499510000001</v>
      </c>
      <c r="AB87" s="6">
        <f>INDEX($A:$P,MATCH(Z87,$A:$A,0),MATCH($AB$1,$A$1:$P$1,0))</f>
        <v>263.89999399999999</v>
      </c>
    </row>
    <row r="88" spans="1:28" x14ac:dyDescent="0.3">
      <c r="A88" s="1">
        <v>44747</v>
      </c>
      <c r="C88">
        <v>263.39999399999999</v>
      </c>
      <c r="D88">
        <v>269.39999399999999</v>
      </c>
      <c r="E88">
        <v>262</v>
      </c>
      <c r="F88">
        <v>262.75</v>
      </c>
      <c r="G88">
        <v>262.75</v>
      </c>
      <c r="H88">
        <v>3432267</v>
      </c>
      <c r="J88">
        <v>2763.3000489999999</v>
      </c>
      <c r="K88">
        <v>2770.8500979999999</v>
      </c>
      <c r="L88">
        <v>2730</v>
      </c>
      <c r="M88">
        <v>2737.25</v>
      </c>
      <c r="N88">
        <v>2601.1875</v>
      </c>
      <c r="O88">
        <v>401190</v>
      </c>
      <c r="Z88" s="5">
        <v>44747</v>
      </c>
      <c r="AA88" s="6">
        <f>INDEX($A:$P,MATCH(Z88,$A:$A,0),MATCH($AA$1,$A$1:$P$1,0))</f>
        <v>2737.25</v>
      </c>
      <c r="AB88" s="6">
        <f>INDEX($A:$P,MATCH(Z88,$A:$A,0),MATCH($AB$1,$A$1:$P$1,0))</f>
        <v>263.39999399999999</v>
      </c>
    </row>
    <row r="89" spans="1:28" x14ac:dyDescent="0.3">
      <c r="A89" s="1">
        <v>44748</v>
      </c>
      <c r="C89">
        <v>264.10000600000001</v>
      </c>
      <c r="D89">
        <v>265.54998799999998</v>
      </c>
      <c r="E89">
        <v>260</v>
      </c>
      <c r="F89">
        <v>262.70001200000002</v>
      </c>
      <c r="G89">
        <v>262.70001200000002</v>
      </c>
      <c r="H89">
        <v>3036307</v>
      </c>
      <c r="J89">
        <v>2737.5</v>
      </c>
      <c r="K89">
        <v>2842</v>
      </c>
      <c r="L89">
        <v>2734.1000979999999</v>
      </c>
      <c r="M89">
        <v>2831.8000489999999</v>
      </c>
      <c r="N89">
        <v>2691.0378420000002</v>
      </c>
      <c r="O89">
        <v>739745</v>
      </c>
      <c r="Z89" s="5">
        <v>44748</v>
      </c>
      <c r="AA89" s="6">
        <f>INDEX($A:$P,MATCH(Z89,$A:$A,0),MATCH($AA$1,$A$1:$P$1,0))</f>
        <v>2831.8000489999999</v>
      </c>
      <c r="AB89" s="6">
        <f>INDEX($A:$P,MATCH(Z89,$A:$A,0),MATCH($AB$1,$A$1:$P$1,0))</f>
        <v>264.10000600000001</v>
      </c>
    </row>
    <row r="90" spans="1:28" x14ac:dyDescent="0.3">
      <c r="A90" s="1">
        <v>44749</v>
      </c>
      <c r="C90">
        <v>265.5</v>
      </c>
      <c r="D90">
        <v>275.79998799999998</v>
      </c>
      <c r="E90">
        <v>265.04998799999998</v>
      </c>
      <c r="F90">
        <v>275.60000600000001</v>
      </c>
      <c r="G90">
        <v>275.60000600000001</v>
      </c>
      <c r="H90">
        <v>11528099</v>
      </c>
      <c r="J90">
        <v>2857</v>
      </c>
      <c r="K90">
        <v>2868.75</v>
      </c>
      <c r="L90">
        <v>2825.1499020000001</v>
      </c>
      <c r="M90">
        <v>2839.4499510000001</v>
      </c>
      <c r="N90">
        <v>2698.3073730000001</v>
      </c>
      <c r="O90">
        <v>382303</v>
      </c>
      <c r="Z90" s="5">
        <v>44749</v>
      </c>
      <c r="AA90" s="6">
        <f>INDEX($A:$P,MATCH(Z90,$A:$A,0),MATCH($AA$1,$A$1:$P$1,0))</f>
        <v>2839.4499510000001</v>
      </c>
      <c r="AB90" s="6">
        <f>INDEX($A:$P,MATCH(Z90,$A:$A,0),MATCH($AB$1,$A$1:$P$1,0))</f>
        <v>265.5</v>
      </c>
    </row>
    <row r="91" spans="1:28" x14ac:dyDescent="0.3">
      <c r="A91" s="1">
        <v>44750</v>
      </c>
      <c r="C91">
        <v>277.89999399999999</v>
      </c>
      <c r="D91">
        <v>278.60000600000001</v>
      </c>
      <c r="E91">
        <v>269</v>
      </c>
      <c r="F91">
        <v>271.54998799999998</v>
      </c>
      <c r="G91">
        <v>271.54998799999998</v>
      </c>
      <c r="H91">
        <v>7078212</v>
      </c>
      <c r="J91">
        <v>2848.3999020000001</v>
      </c>
      <c r="K91">
        <v>2879.9499510000001</v>
      </c>
      <c r="L91">
        <v>2819.0500489999999</v>
      </c>
      <c r="M91">
        <v>2849.3000489999999</v>
      </c>
      <c r="N91">
        <v>2707.6677249999998</v>
      </c>
      <c r="O91">
        <v>532145</v>
      </c>
      <c r="Z91" s="5">
        <v>44750</v>
      </c>
      <c r="AA91" s="6">
        <f>INDEX($A:$P,MATCH(Z91,$A:$A,0),MATCH($AA$1,$A$1:$P$1,0))</f>
        <v>2849.3000489999999</v>
      </c>
      <c r="AB91" s="6">
        <f>INDEX($A:$P,MATCH(Z91,$A:$A,0),MATCH($AB$1,$A$1:$P$1,0))</f>
        <v>277.89999399999999</v>
      </c>
    </row>
    <row r="92" spans="1:28" x14ac:dyDescent="0.3">
      <c r="A92" s="1">
        <v>44753</v>
      </c>
      <c r="C92">
        <v>270</v>
      </c>
      <c r="D92">
        <v>285.10000600000001</v>
      </c>
      <c r="E92">
        <v>269.25</v>
      </c>
      <c r="F92">
        <v>285.10000600000001</v>
      </c>
      <c r="G92">
        <v>285.10000600000001</v>
      </c>
      <c r="H92">
        <v>14086766</v>
      </c>
      <c r="J92">
        <v>2815</v>
      </c>
      <c r="K92">
        <v>2875.3999020000001</v>
      </c>
      <c r="L92">
        <v>2808.0500489999999</v>
      </c>
      <c r="M92">
        <v>2868.1000979999999</v>
      </c>
      <c r="N92">
        <v>2725.5334469999998</v>
      </c>
      <c r="O92">
        <v>428940</v>
      </c>
      <c r="Z92" s="5">
        <v>44753</v>
      </c>
      <c r="AA92" s="6">
        <f>INDEX($A:$P,MATCH(Z92,$A:$A,0),MATCH($AA$1,$A$1:$P$1,0))</f>
        <v>2868.1000979999999</v>
      </c>
      <c r="AB92" s="6">
        <f>INDEX($A:$P,MATCH(Z92,$A:$A,0),MATCH($AB$1,$A$1:$P$1,0))</f>
        <v>270</v>
      </c>
    </row>
    <row r="93" spans="1:28" x14ac:dyDescent="0.3">
      <c r="A93" s="1">
        <v>44754</v>
      </c>
      <c r="C93">
        <v>286.79998799999998</v>
      </c>
      <c r="D93">
        <v>299.35000600000001</v>
      </c>
      <c r="E93">
        <v>286.04998799999998</v>
      </c>
      <c r="F93">
        <v>292.75</v>
      </c>
      <c r="G93">
        <v>292.75</v>
      </c>
      <c r="H93">
        <v>22402570</v>
      </c>
      <c r="J93">
        <v>2854.5</v>
      </c>
      <c r="K93">
        <v>2884.5500489999999</v>
      </c>
      <c r="L93">
        <v>2834</v>
      </c>
      <c r="M93">
        <v>2875.5</v>
      </c>
      <c r="N93">
        <v>2732.5651859999998</v>
      </c>
      <c r="O93">
        <v>422887</v>
      </c>
      <c r="Z93" s="5">
        <v>44754</v>
      </c>
      <c r="AA93" s="6">
        <f>INDEX($A:$P,MATCH(Z93,$A:$A,0),MATCH($AA$1,$A$1:$P$1,0))</f>
        <v>2875.5</v>
      </c>
      <c r="AB93" s="6">
        <f>INDEX($A:$P,MATCH(Z93,$A:$A,0),MATCH($AB$1,$A$1:$P$1,0))</f>
        <v>286.79998799999998</v>
      </c>
    </row>
    <row r="94" spans="1:28" x14ac:dyDescent="0.3">
      <c r="A94" s="1">
        <v>44755</v>
      </c>
      <c r="C94">
        <v>298.39999399999999</v>
      </c>
      <c r="D94">
        <v>299.60000600000001</v>
      </c>
      <c r="E94">
        <v>285</v>
      </c>
      <c r="F94">
        <v>286.64999399999999</v>
      </c>
      <c r="G94">
        <v>286.64999399999999</v>
      </c>
      <c r="H94">
        <v>8566423</v>
      </c>
      <c r="J94">
        <v>2885</v>
      </c>
      <c r="K94">
        <v>2891.8000489999999</v>
      </c>
      <c r="L94">
        <v>2835</v>
      </c>
      <c r="M94">
        <v>2843.3500979999999</v>
      </c>
      <c r="N94">
        <v>2702.013672</v>
      </c>
      <c r="O94">
        <v>539917</v>
      </c>
      <c r="Z94" s="5">
        <v>44755</v>
      </c>
      <c r="AA94" s="6">
        <f>INDEX($A:$P,MATCH(Z94,$A:$A,0),MATCH($AA$1,$A$1:$P$1,0))</f>
        <v>2843.3500979999999</v>
      </c>
      <c r="AB94" s="6">
        <f>INDEX($A:$P,MATCH(Z94,$A:$A,0),MATCH($AB$1,$A$1:$P$1,0))</f>
        <v>298.39999399999999</v>
      </c>
    </row>
    <row r="95" spans="1:28" x14ac:dyDescent="0.3">
      <c r="A95" s="1">
        <v>44756</v>
      </c>
      <c r="C95">
        <v>288</v>
      </c>
      <c r="D95">
        <v>289.79998799999998</v>
      </c>
      <c r="E95">
        <v>277</v>
      </c>
      <c r="F95">
        <v>283.70001200000002</v>
      </c>
      <c r="G95">
        <v>283.70001200000002</v>
      </c>
      <c r="H95">
        <v>6997656</v>
      </c>
      <c r="J95">
        <v>2838</v>
      </c>
      <c r="K95">
        <v>2866</v>
      </c>
      <c r="L95">
        <v>2772.0500489999999</v>
      </c>
      <c r="M95">
        <v>2792.8000489999999</v>
      </c>
      <c r="N95">
        <v>2653.976318</v>
      </c>
      <c r="O95">
        <v>620757</v>
      </c>
      <c r="Z95" s="5">
        <v>44756</v>
      </c>
      <c r="AA95" s="6">
        <f>INDEX($A:$P,MATCH(Z95,$A:$A,0),MATCH($AA$1,$A$1:$P$1,0))</f>
        <v>2792.8000489999999</v>
      </c>
      <c r="AB95" s="6">
        <f>INDEX($A:$P,MATCH(Z95,$A:$A,0),MATCH($AB$1,$A$1:$P$1,0))</f>
        <v>288</v>
      </c>
    </row>
    <row r="96" spans="1:28" x14ac:dyDescent="0.3">
      <c r="A96" s="1">
        <v>44757</v>
      </c>
      <c r="C96">
        <v>286</v>
      </c>
      <c r="D96">
        <v>287.95001200000002</v>
      </c>
      <c r="E96">
        <v>283.25</v>
      </c>
      <c r="F96">
        <v>286.75</v>
      </c>
      <c r="G96">
        <v>286.75</v>
      </c>
      <c r="H96">
        <v>4462588</v>
      </c>
      <c r="J96">
        <v>2799.9499510000001</v>
      </c>
      <c r="K96">
        <v>2816.4499510000001</v>
      </c>
      <c r="L96">
        <v>2782.75</v>
      </c>
      <c r="M96">
        <v>2800.0500489999999</v>
      </c>
      <c r="N96">
        <v>2660.8659670000002</v>
      </c>
      <c r="O96">
        <v>816619</v>
      </c>
      <c r="Z96" s="5">
        <v>44757</v>
      </c>
      <c r="AA96" s="6">
        <f>INDEX($A:$P,MATCH(Z96,$A:$A,0),MATCH($AA$1,$A$1:$P$1,0))</f>
        <v>2800.0500489999999</v>
      </c>
      <c r="AB96" s="6">
        <f>INDEX($A:$P,MATCH(Z96,$A:$A,0),MATCH($AB$1,$A$1:$P$1,0))</f>
        <v>286</v>
      </c>
    </row>
    <row r="97" spans="1:28" x14ac:dyDescent="0.3">
      <c r="A97" s="1">
        <v>44760</v>
      </c>
      <c r="C97">
        <v>289.39999399999999</v>
      </c>
      <c r="D97">
        <v>294.45001200000002</v>
      </c>
      <c r="E97">
        <v>286.79998799999998</v>
      </c>
      <c r="F97">
        <v>289.85000600000001</v>
      </c>
      <c r="G97">
        <v>289.85000600000001</v>
      </c>
      <c r="H97">
        <v>5250758</v>
      </c>
      <c r="J97">
        <v>2829.9499510000001</v>
      </c>
      <c r="K97">
        <v>2835.8500979999999</v>
      </c>
      <c r="L97">
        <v>2805.25</v>
      </c>
      <c r="M97">
        <v>2817.9499510000001</v>
      </c>
      <c r="N97">
        <v>2677.8759770000001</v>
      </c>
      <c r="O97">
        <v>369313</v>
      </c>
      <c r="Z97" s="5">
        <v>44760</v>
      </c>
      <c r="AA97" s="6">
        <f>INDEX($A:$P,MATCH(Z97,$A:$A,0),MATCH($AA$1,$A$1:$P$1,0))</f>
        <v>2817.9499510000001</v>
      </c>
      <c r="AB97" s="6">
        <f>INDEX($A:$P,MATCH(Z97,$A:$A,0),MATCH($AB$1,$A$1:$P$1,0))</f>
        <v>289.39999399999999</v>
      </c>
    </row>
    <row r="98" spans="1:28" x14ac:dyDescent="0.3">
      <c r="A98" s="1">
        <v>44761</v>
      </c>
      <c r="C98">
        <v>286.95001200000002</v>
      </c>
      <c r="D98">
        <v>294.85000600000001</v>
      </c>
      <c r="E98">
        <v>285.25</v>
      </c>
      <c r="F98">
        <v>293.35000600000001</v>
      </c>
      <c r="G98">
        <v>293.35000600000001</v>
      </c>
      <c r="H98">
        <v>6702529</v>
      </c>
      <c r="J98">
        <v>2815</v>
      </c>
      <c r="K98">
        <v>2846.8500979999999</v>
      </c>
      <c r="L98">
        <v>2783.4499510000001</v>
      </c>
      <c r="M98">
        <v>2801.1999510000001</v>
      </c>
      <c r="N98">
        <v>2661.9584960000002</v>
      </c>
      <c r="O98">
        <v>661056</v>
      </c>
      <c r="Z98" s="5">
        <v>44761</v>
      </c>
      <c r="AA98" s="6">
        <f>INDEX($A:$P,MATCH(Z98,$A:$A,0),MATCH($AA$1,$A$1:$P$1,0))</f>
        <v>2801.1999510000001</v>
      </c>
      <c r="AB98" s="6">
        <f>INDEX($A:$P,MATCH(Z98,$A:$A,0),MATCH($AB$1,$A$1:$P$1,0))</f>
        <v>286.95001200000002</v>
      </c>
    </row>
    <row r="99" spans="1:28" x14ac:dyDescent="0.3">
      <c r="A99" s="1">
        <v>44762</v>
      </c>
      <c r="C99">
        <v>296</v>
      </c>
      <c r="D99">
        <v>296.79998799999998</v>
      </c>
      <c r="E99">
        <v>288.54998799999998</v>
      </c>
      <c r="F99">
        <v>289.89999399999999</v>
      </c>
      <c r="G99">
        <v>289.89999399999999</v>
      </c>
      <c r="H99">
        <v>4084090</v>
      </c>
      <c r="J99">
        <v>2820</v>
      </c>
      <c r="K99">
        <v>2838.75</v>
      </c>
      <c r="L99">
        <v>2810</v>
      </c>
      <c r="M99">
        <v>2826.75</v>
      </c>
      <c r="N99">
        <v>2686.2385250000002</v>
      </c>
      <c r="O99">
        <v>201509</v>
      </c>
      <c r="Z99" s="5">
        <v>44762</v>
      </c>
      <c r="AA99" s="6">
        <f>INDEX($A:$P,MATCH(Z99,$A:$A,0),MATCH($AA$1,$A$1:$P$1,0))</f>
        <v>2826.75</v>
      </c>
      <c r="AB99" s="6">
        <f>INDEX($A:$P,MATCH(Z99,$A:$A,0),MATCH($AB$1,$A$1:$P$1,0))</f>
        <v>296</v>
      </c>
    </row>
    <row r="100" spans="1:28" x14ac:dyDescent="0.3">
      <c r="A100" s="1">
        <v>44763</v>
      </c>
      <c r="C100">
        <v>290.95001200000002</v>
      </c>
      <c r="D100">
        <v>295</v>
      </c>
      <c r="E100">
        <v>288.45001200000002</v>
      </c>
      <c r="F100">
        <v>294</v>
      </c>
      <c r="G100">
        <v>294</v>
      </c>
      <c r="H100">
        <v>5262525</v>
      </c>
      <c r="J100">
        <v>2820</v>
      </c>
      <c r="K100">
        <v>2854</v>
      </c>
      <c r="L100">
        <v>2815.0500489999999</v>
      </c>
      <c r="M100">
        <v>2847.8000489999999</v>
      </c>
      <c r="N100">
        <v>2706.2426759999998</v>
      </c>
      <c r="O100">
        <v>314132</v>
      </c>
      <c r="Z100" s="5">
        <v>44763</v>
      </c>
      <c r="AA100" s="6">
        <f>INDEX($A:$P,MATCH(Z100,$A:$A,0),MATCH($AA$1,$A$1:$P$1,0))</f>
        <v>2847.8000489999999</v>
      </c>
      <c r="AB100" s="6">
        <f>INDEX($A:$P,MATCH(Z100,$A:$A,0),MATCH($AB$1,$A$1:$P$1,0))</f>
        <v>290.95001200000002</v>
      </c>
    </row>
    <row r="101" spans="1:28" x14ac:dyDescent="0.3">
      <c r="A101" s="1">
        <v>44764</v>
      </c>
      <c r="C101">
        <v>294.95001200000002</v>
      </c>
      <c r="D101">
        <v>297</v>
      </c>
      <c r="E101">
        <v>290.60000600000001</v>
      </c>
      <c r="F101">
        <v>291.29998799999998</v>
      </c>
      <c r="G101">
        <v>291.29998799999998</v>
      </c>
      <c r="H101">
        <v>3405202</v>
      </c>
      <c r="J101">
        <v>2851.0500489999999</v>
      </c>
      <c r="K101">
        <v>2883.3999020000001</v>
      </c>
      <c r="L101">
        <v>2840.3000489999999</v>
      </c>
      <c r="M101">
        <v>2871.6000979999999</v>
      </c>
      <c r="N101">
        <v>2728.8591310000002</v>
      </c>
      <c r="O101">
        <v>576270</v>
      </c>
      <c r="Z101" s="5">
        <v>44764</v>
      </c>
      <c r="AA101" s="6">
        <f>INDEX($A:$P,MATCH(Z101,$A:$A,0),MATCH($AA$1,$A$1:$P$1,0))</f>
        <v>2871.6000979999999</v>
      </c>
      <c r="AB101" s="6">
        <f>INDEX($A:$P,MATCH(Z101,$A:$A,0),MATCH($AB$1,$A$1:$P$1,0))</f>
        <v>294.95001200000002</v>
      </c>
    </row>
    <row r="102" spans="1:28" x14ac:dyDescent="0.3">
      <c r="A102" s="1">
        <v>44767</v>
      </c>
      <c r="C102">
        <v>291.29998799999998</v>
      </c>
      <c r="D102">
        <v>295.25</v>
      </c>
      <c r="E102">
        <v>289.10000600000001</v>
      </c>
      <c r="F102">
        <v>291.70001200000002</v>
      </c>
      <c r="G102">
        <v>291.70001200000002</v>
      </c>
      <c r="H102">
        <v>4619772</v>
      </c>
      <c r="J102">
        <v>2875</v>
      </c>
      <c r="K102">
        <v>2875.8000489999999</v>
      </c>
      <c r="L102">
        <v>2831.4499510000001</v>
      </c>
      <c r="M102">
        <v>2838.8500979999999</v>
      </c>
      <c r="N102">
        <v>2697.7373050000001</v>
      </c>
      <c r="O102">
        <v>421977</v>
      </c>
      <c r="Z102" s="5">
        <v>44767</v>
      </c>
      <c r="AA102" s="6">
        <f>INDEX($A:$P,MATCH(Z102,$A:$A,0),MATCH($AA$1,$A$1:$P$1,0))</f>
        <v>2838.8500979999999</v>
      </c>
      <c r="AB102" s="6">
        <f>INDEX($A:$P,MATCH(Z102,$A:$A,0),MATCH($AB$1,$A$1:$P$1,0))</f>
        <v>291.29998799999998</v>
      </c>
    </row>
    <row r="103" spans="1:28" x14ac:dyDescent="0.3">
      <c r="A103" s="1">
        <v>44768</v>
      </c>
      <c r="C103">
        <v>291.85000600000001</v>
      </c>
      <c r="D103">
        <v>303.39999399999999</v>
      </c>
      <c r="E103">
        <v>290.14999399999999</v>
      </c>
      <c r="F103">
        <v>297.70001200000002</v>
      </c>
      <c r="G103">
        <v>297.70001200000002</v>
      </c>
      <c r="H103">
        <v>13020068</v>
      </c>
      <c r="J103">
        <v>2840</v>
      </c>
      <c r="K103">
        <v>2847.6999510000001</v>
      </c>
      <c r="L103">
        <v>2785.6499020000001</v>
      </c>
      <c r="M103">
        <v>2800.75</v>
      </c>
      <c r="N103">
        <v>2661.5310060000002</v>
      </c>
      <c r="O103">
        <v>347002</v>
      </c>
      <c r="Z103" s="5">
        <v>44768</v>
      </c>
      <c r="AA103" s="6">
        <f>INDEX($A:$P,MATCH(Z103,$A:$A,0),MATCH($AA$1,$A$1:$P$1,0))</f>
        <v>2800.75</v>
      </c>
      <c r="AB103" s="6">
        <f>INDEX($A:$P,MATCH(Z103,$A:$A,0),MATCH($AB$1,$A$1:$P$1,0))</f>
        <v>291.85000600000001</v>
      </c>
    </row>
    <row r="104" spans="1:28" x14ac:dyDescent="0.3">
      <c r="A104" s="1">
        <v>44769</v>
      </c>
      <c r="C104">
        <v>299</v>
      </c>
      <c r="D104">
        <v>312.54998799999998</v>
      </c>
      <c r="E104">
        <v>298.14999399999999</v>
      </c>
      <c r="F104">
        <v>312.45001200000002</v>
      </c>
      <c r="G104">
        <v>312.45001200000002</v>
      </c>
      <c r="H104">
        <v>11443716</v>
      </c>
      <c r="J104">
        <v>2765</v>
      </c>
      <c r="K104">
        <v>2787.9499510000001</v>
      </c>
      <c r="L104">
        <v>2730.3500979999999</v>
      </c>
      <c r="M104">
        <v>2782.5500489999999</v>
      </c>
      <c r="N104">
        <v>2677.6979980000001</v>
      </c>
      <c r="O104">
        <v>498259</v>
      </c>
      <c r="Z104" s="5">
        <v>44769</v>
      </c>
      <c r="AA104" s="6">
        <f>INDEX($A:$P,MATCH(Z104,$A:$A,0),MATCH($AA$1,$A$1:$P$1,0))</f>
        <v>2782.5500489999999</v>
      </c>
      <c r="AB104" s="6">
        <f>INDEX($A:$P,MATCH(Z104,$A:$A,0),MATCH($AB$1,$A$1:$P$1,0))</f>
        <v>299</v>
      </c>
    </row>
    <row r="105" spans="1:28" x14ac:dyDescent="0.3">
      <c r="A105" s="1">
        <v>44770</v>
      </c>
      <c r="C105">
        <v>321</v>
      </c>
      <c r="D105">
        <v>326.89999399999999</v>
      </c>
      <c r="E105">
        <v>313</v>
      </c>
      <c r="F105">
        <v>321.95001200000002</v>
      </c>
      <c r="G105">
        <v>321.95001200000002</v>
      </c>
      <c r="H105">
        <v>17123340</v>
      </c>
      <c r="J105">
        <v>2798</v>
      </c>
      <c r="K105">
        <v>2812</v>
      </c>
      <c r="L105">
        <v>2754.3999020000001</v>
      </c>
      <c r="M105">
        <v>2780.6999510000001</v>
      </c>
      <c r="N105">
        <v>2710.0051269999999</v>
      </c>
      <c r="O105">
        <v>294368</v>
      </c>
      <c r="Z105" s="5">
        <v>44770</v>
      </c>
      <c r="AA105" s="6">
        <f>INDEX($A:$P,MATCH(Z105,$A:$A,0),MATCH($AA$1,$A$1:$P$1,0))</f>
        <v>2780.6999510000001</v>
      </c>
      <c r="AB105" s="6">
        <f>INDEX($A:$P,MATCH(Z105,$A:$A,0),MATCH($AB$1,$A$1:$P$1,0))</f>
        <v>321</v>
      </c>
    </row>
    <row r="106" spans="1:28" x14ac:dyDescent="0.3">
      <c r="A106" s="1">
        <v>44771</v>
      </c>
      <c r="C106">
        <v>323.25</v>
      </c>
      <c r="D106">
        <v>325.60000600000001</v>
      </c>
      <c r="E106">
        <v>307.29998799999998</v>
      </c>
      <c r="F106">
        <v>313.95001200000002</v>
      </c>
      <c r="G106">
        <v>313.95001200000002</v>
      </c>
      <c r="H106">
        <v>11997017</v>
      </c>
      <c r="J106">
        <v>2800</v>
      </c>
      <c r="K106">
        <v>2846.8000489999999</v>
      </c>
      <c r="L106">
        <v>2789.6000979999999</v>
      </c>
      <c r="M106">
        <v>2818.0500489999999</v>
      </c>
      <c r="N106">
        <v>2746.405518</v>
      </c>
      <c r="O106">
        <v>400652</v>
      </c>
      <c r="Z106" s="5">
        <v>44771</v>
      </c>
      <c r="AA106" s="6">
        <f>INDEX($A:$P,MATCH(Z106,$A:$A,0),MATCH($AA$1,$A$1:$P$1,0))</f>
        <v>2818.0500489999999</v>
      </c>
      <c r="AB106" s="6">
        <f>INDEX($A:$P,MATCH(Z106,$A:$A,0),MATCH($AB$1,$A$1:$P$1,0))</f>
        <v>323.25</v>
      </c>
    </row>
    <row r="107" spans="1:28" x14ac:dyDescent="0.3">
      <c r="A107" s="1">
        <v>44774</v>
      </c>
      <c r="C107">
        <v>314.64999399999999</v>
      </c>
      <c r="D107">
        <v>325</v>
      </c>
      <c r="E107">
        <v>305.54998799999998</v>
      </c>
      <c r="F107">
        <v>321.85000600000001</v>
      </c>
      <c r="G107">
        <v>321.85000600000001</v>
      </c>
      <c r="H107">
        <v>14035834</v>
      </c>
      <c r="J107">
        <v>2834.9499510000001</v>
      </c>
      <c r="K107">
        <v>2908</v>
      </c>
      <c r="L107">
        <v>2820</v>
      </c>
      <c r="M107">
        <v>2840.8000489999999</v>
      </c>
      <c r="N107">
        <v>2768.5771479999999</v>
      </c>
      <c r="O107">
        <v>961562</v>
      </c>
      <c r="Z107" s="5">
        <v>44774</v>
      </c>
      <c r="AA107" s="6">
        <f>INDEX($A:$P,MATCH(Z107,$A:$A,0),MATCH($AA$1,$A$1:$P$1,0))</f>
        <v>2840.8000489999999</v>
      </c>
      <c r="AB107" s="6">
        <f>INDEX($A:$P,MATCH(Z107,$A:$A,0),MATCH($AB$1,$A$1:$P$1,0))</f>
        <v>314.64999399999999</v>
      </c>
    </row>
    <row r="108" spans="1:28" x14ac:dyDescent="0.3">
      <c r="A108" s="1">
        <v>44775</v>
      </c>
      <c r="C108">
        <v>321</v>
      </c>
      <c r="D108">
        <v>332.5</v>
      </c>
      <c r="E108">
        <v>319.10000600000001</v>
      </c>
      <c r="F108">
        <v>328.54998799999998</v>
      </c>
      <c r="G108">
        <v>328.54998799999998</v>
      </c>
      <c r="H108">
        <v>12027692</v>
      </c>
      <c r="J108">
        <v>2826.1000979999999</v>
      </c>
      <c r="K108">
        <v>2828.9499510000001</v>
      </c>
      <c r="L108">
        <v>2742.0500489999999</v>
      </c>
      <c r="M108">
        <v>2771.4499510000001</v>
      </c>
      <c r="N108">
        <v>2700.9902339999999</v>
      </c>
      <c r="O108">
        <v>1137765</v>
      </c>
      <c r="Z108" s="5">
        <v>44775</v>
      </c>
      <c r="AA108" s="6">
        <f>INDEX($A:$P,MATCH(Z108,$A:$A,0),MATCH($AA$1,$A$1:$P$1,0))</f>
        <v>2771.4499510000001</v>
      </c>
      <c r="AB108" s="6">
        <f>INDEX($A:$P,MATCH(Z108,$A:$A,0),MATCH($AB$1,$A$1:$P$1,0))</f>
        <v>321</v>
      </c>
    </row>
    <row r="109" spans="1:28" x14ac:dyDescent="0.3">
      <c r="A109" s="1">
        <v>44776</v>
      </c>
      <c r="C109">
        <v>329.89999399999999</v>
      </c>
      <c r="D109">
        <v>344.95001200000002</v>
      </c>
      <c r="E109">
        <v>321.29998799999998</v>
      </c>
      <c r="F109">
        <v>339.60000600000001</v>
      </c>
      <c r="G109">
        <v>339.60000600000001</v>
      </c>
      <c r="H109">
        <v>22014140</v>
      </c>
      <c r="J109">
        <v>2786</v>
      </c>
      <c r="K109">
        <v>2807.8000489999999</v>
      </c>
      <c r="L109">
        <v>2749.3999020000001</v>
      </c>
      <c r="M109">
        <v>2801.8999020000001</v>
      </c>
      <c r="N109">
        <v>2730.6660160000001</v>
      </c>
      <c r="O109">
        <v>600314</v>
      </c>
      <c r="Z109" s="5">
        <v>44776</v>
      </c>
      <c r="AA109" s="6">
        <f>INDEX($A:$P,MATCH(Z109,$A:$A,0),MATCH($AA$1,$A$1:$P$1,0))</f>
        <v>2801.8999020000001</v>
      </c>
      <c r="AB109" s="6">
        <f>INDEX($A:$P,MATCH(Z109,$A:$A,0),MATCH($AB$1,$A$1:$P$1,0))</f>
        <v>329.89999399999999</v>
      </c>
    </row>
    <row r="110" spans="1:28" x14ac:dyDescent="0.3">
      <c r="A110" s="1">
        <v>44777</v>
      </c>
      <c r="C110">
        <v>344.95001200000002</v>
      </c>
      <c r="D110">
        <v>354</v>
      </c>
      <c r="E110">
        <v>336</v>
      </c>
      <c r="F110">
        <v>347.25</v>
      </c>
      <c r="G110">
        <v>347.25</v>
      </c>
      <c r="H110">
        <v>24080322</v>
      </c>
      <c r="J110">
        <v>2819.8999020000001</v>
      </c>
      <c r="K110">
        <v>2827.9499510000001</v>
      </c>
      <c r="L110">
        <v>2779.1499020000001</v>
      </c>
      <c r="M110">
        <v>2807</v>
      </c>
      <c r="N110">
        <v>2735.6364749999998</v>
      </c>
      <c r="O110">
        <v>396416</v>
      </c>
      <c r="Z110" s="5">
        <v>44777</v>
      </c>
      <c r="AA110" s="6">
        <f>INDEX($A:$P,MATCH(Z110,$A:$A,0),MATCH($AA$1,$A$1:$P$1,0))</f>
        <v>2807</v>
      </c>
      <c r="AB110" s="6">
        <f>INDEX($A:$P,MATCH(Z110,$A:$A,0),MATCH($AB$1,$A$1:$P$1,0))</f>
        <v>344.95001200000002</v>
      </c>
    </row>
    <row r="111" spans="1:28" x14ac:dyDescent="0.3">
      <c r="A111" s="1">
        <v>44778</v>
      </c>
      <c r="C111">
        <v>345.70001200000002</v>
      </c>
      <c r="D111">
        <v>346.39999399999999</v>
      </c>
      <c r="E111">
        <v>329.89999399999999</v>
      </c>
      <c r="F111">
        <v>332.04998799999998</v>
      </c>
      <c r="G111">
        <v>332.04998799999998</v>
      </c>
      <c r="H111">
        <v>11631810</v>
      </c>
      <c r="J111">
        <v>2808</v>
      </c>
      <c r="K111">
        <v>2809.8999020000001</v>
      </c>
      <c r="L111">
        <v>2761</v>
      </c>
      <c r="M111">
        <v>2770.6999510000001</v>
      </c>
      <c r="N111">
        <v>2700.2592770000001</v>
      </c>
      <c r="O111">
        <v>512072</v>
      </c>
      <c r="Z111" s="5">
        <v>44778</v>
      </c>
      <c r="AA111" s="6">
        <f>INDEX($A:$P,MATCH(Z111,$A:$A,0),MATCH($AA$1,$A$1:$P$1,0))</f>
        <v>2770.6999510000001</v>
      </c>
      <c r="AB111" s="6">
        <f>INDEX($A:$P,MATCH(Z111,$A:$A,0),MATCH($AB$1,$A$1:$P$1,0))</f>
        <v>345.70001200000002</v>
      </c>
    </row>
    <row r="112" spans="1:28" x14ac:dyDescent="0.3">
      <c r="A112" s="1">
        <v>44781</v>
      </c>
      <c r="C112">
        <v>328.39999399999999</v>
      </c>
      <c r="D112">
        <v>334.64999399999999</v>
      </c>
      <c r="E112">
        <v>322.04998799999998</v>
      </c>
      <c r="F112">
        <v>328.60000600000001</v>
      </c>
      <c r="G112">
        <v>328.60000600000001</v>
      </c>
      <c r="H112">
        <v>9539478</v>
      </c>
      <c r="J112">
        <v>2770</v>
      </c>
      <c r="K112">
        <v>2793.3000489999999</v>
      </c>
      <c r="L112">
        <v>2730</v>
      </c>
      <c r="M112">
        <v>2738.0500489999999</v>
      </c>
      <c r="N112">
        <v>2668.439453</v>
      </c>
      <c r="O112">
        <v>675310</v>
      </c>
      <c r="Z112" s="5">
        <v>44781</v>
      </c>
      <c r="AA112" s="6">
        <f>INDEX($A:$P,MATCH(Z112,$A:$A,0),MATCH($AA$1,$A$1:$P$1,0))</f>
        <v>2738.0500489999999</v>
      </c>
      <c r="AB112" s="6">
        <f>INDEX($A:$P,MATCH(Z112,$A:$A,0),MATCH($AB$1,$A$1:$P$1,0))</f>
        <v>328.39999399999999</v>
      </c>
    </row>
    <row r="113" spans="1:28" x14ac:dyDescent="0.3">
      <c r="A113" s="1">
        <v>44783</v>
      </c>
      <c r="C113">
        <v>330.70001200000002</v>
      </c>
      <c r="D113">
        <v>341.89999399999999</v>
      </c>
      <c r="E113">
        <v>329.10000600000001</v>
      </c>
      <c r="F113">
        <v>339.75</v>
      </c>
      <c r="G113">
        <v>339.75</v>
      </c>
      <c r="H113">
        <v>11762358</v>
      </c>
      <c r="J113">
        <v>2785</v>
      </c>
      <c r="K113">
        <v>2785</v>
      </c>
      <c r="L113">
        <v>2732.8999020000001</v>
      </c>
      <c r="M113">
        <v>2775.4499510000001</v>
      </c>
      <c r="N113">
        <v>2704.888672</v>
      </c>
      <c r="O113">
        <v>895054</v>
      </c>
      <c r="Z113" s="5">
        <v>44783</v>
      </c>
      <c r="AA113" s="6">
        <f>INDEX($A:$P,MATCH(Z113,$A:$A,0),MATCH($AA$1,$A$1:$P$1,0))</f>
        <v>2775.4499510000001</v>
      </c>
      <c r="AB113" s="6">
        <f>INDEX($A:$P,MATCH(Z113,$A:$A,0),MATCH($AB$1,$A$1:$P$1,0))</f>
        <v>330.70001200000002</v>
      </c>
    </row>
    <row r="114" spans="1:28" x14ac:dyDescent="0.3">
      <c r="A114" s="1">
        <v>44784</v>
      </c>
      <c r="C114">
        <v>342.79998799999998</v>
      </c>
      <c r="D114">
        <v>348.89999399999999</v>
      </c>
      <c r="E114">
        <v>341.14999399999999</v>
      </c>
      <c r="F114">
        <v>342.39999399999999</v>
      </c>
      <c r="G114">
        <v>342.39999399999999</v>
      </c>
      <c r="H114">
        <v>8225491</v>
      </c>
      <c r="J114">
        <v>2790.3500979999999</v>
      </c>
      <c r="K114">
        <v>2818</v>
      </c>
      <c r="L114">
        <v>2767.3999020000001</v>
      </c>
      <c r="M114">
        <v>2785.3000489999999</v>
      </c>
      <c r="N114">
        <v>2714.4882809999999</v>
      </c>
      <c r="O114">
        <v>422152</v>
      </c>
      <c r="Z114" s="5">
        <v>44784</v>
      </c>
      <c r="AA114" s="6">
        <f>INDEX($A:$P,MATCH(Z114,$A:$A,0),MATCH($AA$1,$A$1:$P$1,0))</f>
        <v>2785.3000489999999</v>
      </c>
      <c r="AB114" s="6">
        <f>INDEX($A:$P,MATCH(Z114,$A:$A,0),MATCH($AB$1,$A$1:$P$1,0))</f>
        <v>342.79998799999998</v>
      </c>
    </row>
    <row r="115" spans="1:28" x14ac:dyDescent="0.3">
      <c r="A115" s="1">
        <v>44785</v>
      </c>
      <c r="C115">
        <v>343</v>
      </c>
      <c r="D115">
        <v>348.85000600000001</v>
      </c>
      <c r="E115">
        <v>342.5</v>
      </c>
      <c r="F115">
        <v>345.14999399999999</v>
      </c>
      <c r="G115">
        <v>345.14999399999999</v>
      </c>
      <c r="H115">
        <v>6973783</v>
      </c>
      <c r="J115">
        <v>2789.9499510000001</v>
      </c>
      <c r="K115">
        <v>2795</v>
      </c>
      <c r="L115">
        <v>2751.8500979999999</v>
      </c>
      <c r="M115">
        <v>2761.8999020000001</v>
      </c>
      <c r="N115">
        <v>2691.6831050000001</v>
      </c>
      <c r="O115">
        <v>435760</v>
      </c>
      <c r="Z115" s="5">
        <v>44785</v>
      </c>
      <c r="AA115" s="6">
        <f>INDEX($A:$P,MATCH(Z115,$A:$A,0),MATCH($AA$1,$A$1:$P$1,0))</f>
        <v>2761.8999020000001</v>
      </c>
      <c r="AB115" s="6">
        <f>INDEX($A:$P,MATCH(Z115,$A:$A,0),MATCH($AB$1,$A$1:$P$1,0))</f>
        <v>343</v>
      </c>
    </row>
    <row r="116" spans="1:28" x14ac:dyDescent="0.3">
      <c r="A116" s="1">
        <v>44789</v>
      </c>
      <c r="C116">
        <v>349</v>
      </c>
      <c r="D116">
        <v>362.39999399999999</v>
      </c>
      <c r="E116">
        <v>349</v>
      </c>
      <c r="F116">
        <v>362.35000600000001</v>
      </c>
      <c r="G116">
        <v>362.35000600000001</v>
      </c>
      <c r="H116">
        <v>22780049</v>
      </c>
      <c r="J116">
        <v>2805</v>
      </c>
      <c r="K116">
        <v>2845.6499020000001</v>
      </c>
      <c r="L116">
        <v>2781.5</v>
      </c>
      <c r="M116">
        <v>2817</v>
      </c>
      <c r="N116">
        <v>2745.3823240000002</v>
      </c>
      <c r="O116">
        <v>1213957</v>
      </c>
      <c r="Z116" s="5">
        <v>44789</v>
      </c>
      <c r="AA116" s="6">
        <f>INDEX($A:$P,MATCH(Z116,$A:$A,0),MATCH($AA$1,$A$1:$P$1,0))</f>
        <v>2817</v>
      </c>
      <c r="AB116" s="6">
        <f>INDEX($A:$P,MATCH(Z116,$A:$A,0),MATCH($AB$1,$A$1:$P$1,0))</f>
        <v>349</v>
      </c>
    </row>
    <row r="117" spans="1:28" x14ac:dyDescent="0.3">
      <c r="A117" s="1">
        <v>44790</v>
      </c>
      <c r="C117">
        <v>367</v>
      </c>
      <c r="D117">
        <v>380.45001200000002</v>
      </c>
      <c r="E117">
        <v>366.25</v>
      </c>
      <c r="F117">
        <v>380.45001200000002</v>
      </c>
      <c r="G117">
        <v>380.45001200000002</v>
      </c>
      <c r="H117">
        <v>20461889</v>
      </c>
      <c r="J117">
        <v>2815</v>
      </c>
      <c r="K117">
        <v>2929</v>
      </c>
      <c r="L117">
        <v>2808.0500489999999</v>
      </c>
      <c r="M117">
        <v>2913.4499510000001</v>
      </c>
      <c r="N117">
        <v>2839.3801269999999</v>
      </c>
      <c r="O117">
        <v>2510869</v>
      </c>
      <c r="Z117" s="5">
        <v>44790</v>
      </c>
      <c r="AA117" s="6">
        <f>INDEX($A:$P,MATCH(Z117,$A:$A,0),MATCH($AA$1,$A$1:$P$1,0))</f>
        <v>2913.4499510000001</v>
      </c>
      <c r="AB117" s="6">
        <f>INDEX($A:$P,MATCH(Z117,$A:$A,0),MATCH($AB$1,$A$1:$P$1,0))</f>
        <v>367</v>
      </c>
    </row>
    <row r="118" spans="1:28" x14ac:dyDescent="0.3">
      <c r="A118" s="1">
        <v>44791</v>
      </c>
      <c r="C118">
        <v>389.5</v>
      </c>
      <c r="D118">
        <v>399.45001200000002</v>
      </c>
      <c r="E118">
        <v>388.54998799999998</v>
      </c>
      <c r="F118">
        <v>399.45001200000002</v>
      </c>
      <c r="G118">
        <v>399.45001200000002</v>
      </c>
      <c r="H118">
        <v>25713957</v>
      </c>
      <c r="J118">
        <v>2927.9499510000001</v>
      </c>
      <c r="K118">
        <v>2938.6000979999999</v>
      </c>
      <c r="L118">
        <v>2903.1499020000001</v>
      </c>
      <c r="M118">
        <v>2908.1999510000001</v>
      </c>
      <c r="N118">
        <v>2834.263672</v>
      </c>
      <c r="O118">
        <v>805655</v>
      </c>
      <c r="Z118" s="5">
        <v>44791</v>
      </c>
      <c r="AA118" s="6">
        <f>INDEX($A:$P,MATCH(Z118,$A:$A,0),MATCH($AA$1,$A$1:$P$1,0))</f>
        <v>2908.1999510000001</v>
      </c>
      <c r="AB118" s="6">
        <f>INDEX($A:$P,MATCH(Z118,$A:$A,0),MATCH($AB$1,$A$1:$P$1,0))</f>
        <v>389.5</v>
      </c>
    </row>
    <row r="119" spans="1:28" x14ac:dyDescent="0.3">
      <c r="A119" s="1">
        <v>44792</v>
      </c>
      <c r="C119">
        <v>407.70001200000002</v>
      </c>
      <c r="D119">
        <v>418.85000600000001</v>
      </c>
      <c r="E119">
        <v>391.14999399999999</v>
      </c>
      <c r="F119">
        <v>411.95001200000002</v>
      </c>
      <c r="G119">
        <v>411.95001200000002</v>
      </c>
      <c r="H119">
        <v>34688719</v>
      </c>
      <c r="J119">
        <v>2912</v>
      </c>
      <c r="K119">
        <v>2936.8999020000001</v>
      </c>
      <c r="L119">
        <v>2832.8500979999999</v>
      </c>
      <c r="M119">
        <v>2838.6499020000001</v>
      </c>
      <c r="N119">
        <v>2766.4816890000002</v>
      </c>
      <c r="O119">
        <v>510610</v>
      </c>
      <c r="Z119" s="5">
        <v>44792</v>
      </c>
      <c r="AA119" s="6">
        <f>INDEX($A:$P,MATCH(Z119,$A:$A,0),MATCH($AA$1,$A$1:$P$1,0))</f>
        <v>2838.6499020000001</v>
      </c>
      <c r="AB119" s="6">
        <f>INDEX($A:$P,MATCH(Z119,$A:$A,0),MATCH($AB$1,$A$1:$P$1,0))</f>
        <v>407.70001200000002</v>
      </c>
    </row>
    <row r="120" spans="1:28" x14ac:dyDescent="0.3">
      <c r="A120" s="1">
        <v>44795</v>
      </c>
      <c r="C120">
        <v>420.14999399999999</v>
      </c>
      <c r="D120">
        <v>432.5</v>
      </c>
      <c r="E120">
        <v>419.39999399999999</v>
      </c>
      <c r="F120">
        <v>432.5</v>
      </c>
      <c r="G120">
        <v>432.5</v>
      </c>
      <c r="H120">
        <v>24596270</v>
      </c>
      <c r="J120">
        <v>2835</v>
      </c>
      <c r="K120">
        <v>2835.6499020000001</v>
      </c>
      <c r="L120">
        <v>2765.5500489999999</v>
      </c>
      <c r="M120">
        <v>2780.5500489999999</v>
      </c>
      <c r="N120">
        <v>2709.8588869999999</v>
      </c>
      <c r="O120">
        <v>570304</v>
      </c>
      <c r="Z120" s="5">
        <v>44795</v>
      </c>
      <c r="AA120" s="6">
        <f>INDEX($A:$P,MATCH(Z120,$A:$A,0),MATCH($AA$1,$A$1:$P$1,0))</f>
        <v>2780.5500489999999</v>
      </c>
      <c r="AB120" s="6">
        <f>INDEX($A:$P,MATCH(Z120,$A:$A,0),MATCH($AB$1,$A$1:$P$1,0))</f>
        <v>420.14999399999999</v>
      </c>
    </row>
    <row r="121" spans="1:28" x14ac:dyDescent="0.3">
      <c r="A121" s="1">
        <v>44796</v>
      </c>
      <c r="C121">
        <v>421</v>
      </c>
      <c r="D121">
        <v>424.89999399999999</v>
      </c>
      <c r="E121">
        <v>410.89999399999999</v>
      </c>
      <c r="F121">
        <v>410.89999399999999</v>
      </c>
      <c r="G121">
        <v>410.89999399999999</v>
      </c>
      <c r="H121">
        <v>13387626</v>
      </c>
      <c r="J121">
        <v>2775</v>
      </c>
      <c r="K121">
        <v>2810</v>
      </c>
      <c r="L121">
        <v>2756.1499020000001</v>
      </c>
      <c r="M121">
        <v>2803.3999020000001</v>
      </c>
      <c r="N121">
        <v>2732.1279300000001</v>
      </c>
      <c r="O121">
        <v>396875</v>
      </c>
      <c r="Z121" s="5">
        <v>44796</v>
      </c>
      <c r="AA121" s="6">
        <f>INDEX($A:$P,MATCH(Z121,$A:$A,0),MATCH($AA$1,$A$1:$P$1,0))</f>
        <v>2803.3999020000001</v>
      </c>
      <c r="AB121" s="6">
        <f>INDEX($A:$P,MATCH(Z121,$A:$A,0),MATCH($AB$1,$A$1:$P$1,0))</f>
        <v>421</v>
      </c>
    </row>
    <row r="122" spans="1:28" x14ac:dyDescent="0.3">
      <c r="A122" s="1">
        <v>44797</v>
      </c>
      <c r="C122">
        <v>390.39999399999999</v>
      </c>
      <c r="D122">
        <v>390.39999399999999</v>
      </c>
      <c r="E122">
        <v>390.39999399999999</v>
      </c>
      <c r="F122">
        <v>390.39999399999999</v>
      </c>
      <c r="G122">
        <v>390.39999399999999</v>
      </c>
      <c r="H122">
        <v>2043074</v>
      </c>
      <c r="J122">
        <v>2781.3500979999999</v>
      </c>
      <c r="K122">
        <v>2824</v>
      </c>
      <c r="L122">
        <v>2780</v>
      </c>
      <c r="M122">
        <v>2806.3500979999999</v>
      </c>
      <c r="N122">
        <v>2735.0031739999999</v>
      </c>
      <c r="O122">
        <v>324008</v>
      </c>
      <c r="Z122" s="5">
        <v>44797</v>
      </c>
      <c r="AA122" s="6">
        <f>INDEX($A:$P,MATCH(Z122,$A:$A,0),MATCH($AA$1,$A$1:$P$1,0))</f>
        <v>2806.3500979999999</v>
      </c>
      <c r="AB122" s="6">
        <f>INDEX($A:$P,MATCH(Z122,$A:$A,0),MATCH($AB$1,$A$1:$P$1,0))</f>
        <v>390.39999399999999</v>
      </c>
    </row>
    <row r="123" spans="1:28" x14ac:dyDescent="0.3">
      <c r="A123" s="1">
        <v>44798</v>
      </c>
      <c r="C123">
        <v>370.89999399999999</v>
      </c>
      <c r="D123">
        <v>409</v>
      </c>
      <c r="E123">
        <v>370.89999399999999</v>
      </c>
      <c r="F123">
        <v>393.5</v>
      </c>
      <c r="G123">
        <v>393.5</v>
      </c>
      <c r="H123">
        <v>7028189</v>
      </c>
      <c r="J123">
        <v>2808.1000979999999</v>
      </c>
      <c r="K123">
        <v>2821.0500489999999</v>
      </c>
      <c r="L123">
        <v>2791.8999020000001</v>
      </c>
      <c r="M123">
        <v>2799.8000489999999</v>
      </c>
      <c r="N123">
        <v>2728.6196289999998</v>
      </c>
      <c r="O123">
        <v>363945</v>
      </c>
      <c r="Z123" s="5">
        <v>44798</v>
      </c>
      <c r="AA123" s="6">
        <f>INDEX($A:$P,MATCH(Z123,$A:$A,0),MATCH($AA$1,$A$1:$P$1,0))</f>
        <v>2799.8000489999999</v>
      </c>
      <c r="AB123" s="6">
        <f>INDEX($A:$P,MATCH(Z123,$A:$A,0),MATCH($AB$1,$A$1:$P$1,0))</f>
        <v>370.89999399999999</v>
      </c>
    </row>
    <row r="124" spans="1:28" x14ac:dyDescent="0.3">
      <c r="A124" s="1">
        <v>44799</v>
      </c>
      <c r="C124">
        <v>393.5</v>
      </c>
      <c r="D124">
        <v>393.5</v>
      </c>
      <c r="E124">
        <v>373.85000600000001</v>
      </c>
      <c r="F124">
        <v>375.5</v>
      </c>
      <c r="G124">
        <v>375.5</v>
      </c>
      <c r="H124">
        <v>7038810</v>
      </c>
      <c r="J124">
        <v>2835</v>
      </c>
      <c r="K124">
        <v>2840.8999020000001</v>
      </c>
      <c r="L124">
        <v>2817.0500489999999</v>
      </c>
      <c r="M124">
        <v>2826.75</v>
      </c>
      <c r="N124">
        <v>2754.8842770000001</v>
      </c>
      <c r="O124">
        <v>475372</v>
      </c>
      <c r="Z124" s="5">
        <v>44799</v>
      </c>
      <c r="AA124" s="6">
        <f>INDEX($A:$P,MATCH(Z124,$A:$A,0),MATCH($AA$1,$A$1:$P$1,0))</f>
        <v>2826.75</v>
      </c>
      <c r="AB124" s="6">
        <f>INDEX($A:$P,MATCH(Z124,$A:$A,0),MATCH($AB$1,$A$1:$P$1,0))</f>
        <v>393.5</v>
      </c>
    </row>
    <row r="125" spans="1:28" x14ac:dyDescent="0.3">
      <c r="A125" s="1">
        <v>44802</v>
      </c>
      <c r="C125">
        <v>360.04998799999998</v>
      </c>
      <c r="D125">
        <v>394.25</v>
      </c>
      <c r="E125">
        <v>356.75</v>
      </c>
      <c r="F125">
        <v>394.25</v>
      </c>
      <c r="G125">
        <v>394.25</v>
      </c>
      <c r="H125">
        <v>6146175</v>
      </c>
      <c r="J125">
        <v>2788.8999020000001</v>
      </c>
      <c r="K125">
        <v>2831.9499510000001</v>
      </c>
      <c r="L125">
        <v>2761.1000979999999</v>
      </c>
      <c r="M125">
        <v>2827.0500489999999</v>
      </c>
      <c r="N125">
        <v>2755.1767580000001</v>
      </c>
      <c r="O125">
        <v>339203</v>
      </c>
      <c r="Z125" s="5">
        <v>44802</v>
      </c>
      <c r="AA125" s="6">
        <f>INDEX($A:$P,MATCH(Z125,$A:$A,0),MATCH($AA$1,$A$1:$P$1,0))</f>
        <v>2827.0500489999999</v>
      </c>
      <c r="AB125" s="6">
        <f>INDEX($A:$P,MATCH(Z125,$A:$A,0),MATCH($AB$1,$A$1:$P$1,0))</f>
        <v>360.04998799999998</v>
      </c>
    </row>
    <row r="126" spans="1:28" x14ac:dyDescent="0.3">
      <c r="A126" s="1">
        <v>44803</v>
      </c>
      <c r="C126">
        <v>400</v>
      </c>
      <c r="D126">
        <v>413.95001200000002</v>
      </c>
      <c r="E126">
        <v>395.45001200000002</v>
      </c>
      <c r="F126">
        <v>413.95001200000002</v>
      </c>
      <c r="G126">
        <v>413.95001200000002</v>
      </c>
      <c r="H126">
        <v>6755214</v>
      </c>
      <c r="J126">
        <v>2842</v>
      </c>
      <c r="K126">
        <v>2864</v>
      </c>
      <c r="L126">
        <v>2831.5500489999999</v>
      </c>
      <c r="M126">
        <v>2837.6999510000001</v>
      </c>
      <c r="N126">
        <v>2765.5559079999998</v>
      </c>
      <c r="O126">
        <v>918526</v>
      </c>
      <c r="Z126" s="5">
        <v>44803</v>
      </c>
      <c r="AA126" s="6">
        <f>INDEX($A:$P,MATCH(Z126,$A:$A,0),MATCH($AA$1,$A$1:$P$1,0))</f>
        <v>2837.6999510000001</v>
      </c>
      <c r="AB126" s="6">
        <f>INDEX($A:$P,MATCH(Z126,$A:$A,0),MATCH($AB$1,$A$1:$P$1,0))</f>
        <v>400</v>
      </c>
    </row>
    <row r="127" spans="1:28" x14ac:dyDescent="0.3">
      <c r="A127" s="1">
        <v>44805</v>
      </c>
      <c r="C127">
        <v>417</v>
      </c>
      <c r="D127">
        <v>418.85000600000001</v>
      </c>
      <c r="E127">
        <v>400.04998799999998</v>
      </c>
      <c r="F127">
        <v>408.5</v>
      </c>
      <c r="G127">
        <v>408.5</v>
      </c>
      <c r="H127">
        <v>5302707</v>
      </c>
      <c r="J127">
        <v>2820</v>
      </c>
      <c r="K127">
        <v>2882.1999510000001</v>
      </c>
      <c r="L127">
        <v>2792.8999020000001</v>
      </c>
      <c r="M127">
        <v>2876.6499020000001</v>
      </c>
      <c r="N127">
        <v>2803.515625</v>
      </c>
      <c r="O127">
        <v>838699</v>
      </c>
      <c r="Z127" s="5">
        <v>44805</v>
      </c>
      <c r="AA127" s="6">
        <f>INDEX($A:$P,MATCH(Z127,$A:$A,0),MATCH($AA$1,$A$1:$P$1,0))</f>
        <v>2876.6499020000001</v>
      </c>
      <c r="AB127" s="6">
        <f>INDEX($A:$P,MATCH(Z127,$A:$A,0),MATCH($AB$1,$A$1:$P$1,0))</f>
        <v>417</v>
      </c>
    </row>
    <row r="128" spans="1:28" x14ac:dyDescent="0.3">
      <c r="A128" s="1">
        <v>44806</v>
      </c>
      <c r="C128">
        <v>413.35000600000001</v>
      </c>
      <c r="D128">
        <v>415</v>
      </c>
      <c r="E128">
        <v>400</v>
      </c>
      <c r="F128">
        <v>401.25</v>
      </c>
      <c r="G128">
        <v>401.25</v>
      </c>
      <c r="H128">
        <v>2852897</v>
      </c>
      <c r="J128">
        <v>2888.3000489999999</v>
      </c>
      <c r="K128">
        <v>2889</v>
      </c>
      <c r="L128">
        <v>2820.1000979999999</v>
      </c>
      <c r="M128">
        <v>2825.1499020000001</v>
      </c>
      <c r="N128">
        <v>2753.3249510000001</v>
      </c>
      <c r="O128">
        <v>776170</v>
      </c>
      <c r="Z128" s="5">
        <v>44806</v>
      </c>
      <c r="AA128" s="6">
        <f>INDEX($A:$P,MATCH(Z128,$A:$A,0),MATCH($AA$1,$A$1:$P$1,0))</f>
        <v>2825.1499020000001</v>
      </c>
      <c r="AB128" s="6">
        <f>INDEX($A:$P,MATCH(Z128,$A:$A,0),MATCH($AB$1,$A$1:$P$1,0))</f>
        <v>413.35000600000001</v>
      </c>
    </row>
    <row r="129" spans="1:28" x14ac:dyDescent="0.3">
      <c r="A129" s="1">
        <v>44809</v>
      </c>
      <c r="C129">
        <v>403.64999399999999</v>
      </c>
      <c r="D129">
        <v>407</v>
      </c>
      <c r="E129">
        <v>385.54998799999998</v>
      </c>
      <c r="F129">
        <v>389.85000600000001</v>
      </c>
      <c r="G129">
        <v>389.85000600000001</v>
      </c>
      <c r="H129">
        <v>3344426</v>
      </c>
      <c r="J129">
        <v>2828</v>
      </c>
      <c r="K129">
        <v>2848</v>
      </c>
      <c r="L129">
        <v>2808.0500489999999</v>
      </c>
      <c r="M129">
        <v>2842.0500489999999</v>
      </c>
      <c r="N129">
        <v>2769.7954100000002</v>
      </c>
      <c r="O129">
        <v>930716</v>
      </c>
      <c r="Z129" s="5">
        <v>44809</v>
      </c>
      <c r="AA129" s="6">
        <f>INDEX($A:$P,MATCH(Z129,$A:$A,0),MATCH($AA$1,$A$1:$P$1,0))</f>
        <v>2842.0500489999999</v>
      </c>
      <c r="AB129" s="6">
        <f>INDEX($A:$P,MATCH(Z129,$A:$A,0),MATCH($AB$1,$A$1:$P$1,0))</f>
        <v>403.64999399999999</v>
      </c>
    </row>
    <row r="130" spans="1:28" x14ac:dyDescent="0.3">
      <c r="A130" s="1">
        <v>44810</v>
      </c>
      <c r="C130">
        <v>392</v>
      </c>
      <c r="D130">
        <v>409.29998799999998</v>
      </c>
      <c r="E130">
        <v>386</v>
      </c>
      <c r="F130">
        <v>407.75</v>
      </c>
      <c r="G130">
        <v>407.75</v>
      </c>
      <c r="H130">
        <v>3907288</v>
      </c>
      <c r="J130">
        <v>2842.0500489999999</v>
      </c>
      <c r="K130">
        <v>2869.75</v>
      </c>
      <c r="L130">
        <v>2827.8000489999999</v>
      </c>
      <c r="M130">
        <v>2866.5500489999999</v>
      </c>
      <c r="N130">
        <v>2793.672607</v>
      </c>
      <c r="O130">
        <v>481401</v>
      </c>
      <c r="Z130" s="5">
        <v>44810</v>
      </c>
      <c r="AA130" s="6">
        <f>INDEX($A:$P,MATCH(Z130,$A:$A,0),MATCH($AA$1,$A$1:$P$1,0))</f>
        <v>2866.5500489999999</v>
      </c>
      <c r="AB130" s="6">
        <f>INDEX($A:$P,MATCH(Z130,$A:$A,0),MATCH($AB$1,$A$1:$P$1,0))</f>
        <v>392</v>
      </c>
    </row>
    <row r="131" spans="1:28" x14ac:dyDescent="0.3">
      <c r="A131" s="1">
        <v>44811</v>
      </c>
      <c r="C131">
        <v>404.70001200000002</v>
      </c>
      <c r="D131">
        <v>415.75</v>
      </c>
      <c r="E131">
        <v>401.25</v>
      </c>
      <c r="F131">
        <v>406.29998799999998</v>
      </c>
      <c r="G131">
        <v>406.29998799999998</v>
      </c>
      <c r="H131">
        <v>2901689</v>
      </c>
      <c r="J131">
        <v>2840</v>
      </c>
      <c r="K131">
        <v>2875</v>
      </c>
      <c r="L131">
        <v>2831</v>
      </c>
      <c r="M131">
        <v>2854.75</v>
      </c>
      <c r="N131">
        <v>2782.172607</v>
      </c>
      <c r="O131">
        <v>551689</v>
      </c>
      <c r="Z131" s="5">
        <v>44811</v>
      </c>
      <c r="AA131" s="6">
        <f>INDEX($A:$P,MATCH(Z131,$A:$A,0),MATCH($AA$1,$A$1:$P$1,0))</f>
        <v>2854.75</v>
      </c>
      <c r="AB131" s="6">
        <f>INDEX($A:$P,MATCH(Z131,$A:$A,0),MATCH($AB$1,$A$1:$P$1,0))</f>
        <v>404.70001200000002</v>
      </c>
    </row>
    <row r="132" spans="1:28" x14ac:dyDescent="0.3">
      <c r="A132" s="1">
        <v>44812</v>
      </c>
      <c r="C132">
        <v>413</v>
      </c>
      <c r="D132">
        <v>413.5</v>
      </c>
      <c r="E132">
        <v>399</v>
      </c>
      <c r="F132">
        <v>401.89999399999999</v>
      </c>
      <c r="G132">
        <v>401.89999399999999</v>
      </c>
      <c r="H132">
        <v>2271073</v>
      </c>
      <c r="J132">
        <v>2869.0500489999999</v>
      </c>
      <c r="K132">
        <v>2873.5</v>
      </c>
      <c r="L132">
        <v>2846</v>
      </c>
      <c r="M132">
        <v>2857.3000489999999</v>
      </c>
      <c r="N132">
        <v>2784.6577149999998</v>
      </c>
      <c r="O132">
        <v>519141</v>
      </c>
      <c r="Z132" s="5">
        <v>44812</v>
      </c>
      <c r="AA132" s="6">
        <f>INDEX($A:$P,MATCH(Z132,$A:$A,0),MATCH($AA$1,$A$1:$P$1,0))</f>
        <v>2857.3000489999999</v>
      </c>
      <c r="AB132" s="6">
        <f>INDEX($A:$P,MATCH(Z132,$A:$A,0),MATCH($AB$1,$A$1:$P$1,0))</f>
        <v>413</v>
      </c>
    </row>
    <row r="133" spans="1:28" x14ac:dyDescent="0.3">
      <c r="A133" s="1">
        <v>44813</v>
      </c>
      <c r="C133">
        <v>405.75</v>
      </c>
      <c r="D133">
        <v>406.85000600000001</v>
      </c>
      <c r="E133">
        <v>395</v>
      </c>
      <c r="F133">
        <v>397</v>
      </c>
      <c r="G133">
        <v>397</v>
      </c>
      <c r="H133">
        <v>2420630</v>
      </c>
      <c r="J133">
        <v>2871.6000979999999</v>
      </c>
      <c r="K133">
        <v>2878.25</v>
      </c>
      <c r="L133">
        <v>2832.6999510000001</v>
      </c>
      <c r="M133">
        <v>2838.4499510000001</v>
      </c>
      <c r="N133">
        <v>2766.286865</v>
      </c>
      <c r="O133">
        <v>522672</v>
      </c>
      <c r="Z133" s="5">
        <v>44813</v>
      </c>
      <c r="AA133" s="6">
        <f>INDEX($A:$P,MATCH(Z133,$A:$A,0),MATCH($AA$1,$A$1:$P$1,0))</f>
        <v>2838.4499510000001</v>
      </c>
      <c r="AB133" s="6">
        <f>INDEX($A:$P,MATCH(Z133,$A:$A,0),MATCH($AB$1,$A$1:$P$1,0))</f>
        <v>405.75</v>
      </c>
    </row>
    <row r="134" spans="1:28" x14ac:dyDescent="0.3">
      <c r="A134" s="1">
        <v>44816</v>
      </c>
      <c r="C134">
        <v>402</v>
      </c>
      <c r="D134">
        <v>402.89999399999999</v>
      </c>
      <c r="E134">
        <v>395.5</v>
      </c>
      <c r="F134">
        <v>397.60000600000001</v>
      </c>
      <c r="G134">
        <v>397.60000600000001</v>
      </c>
      <c r="H134">
        <v>2022749</v>
      </c>
      <c r="J134">
        <v>2847</v>
      </c>
      <c r="K134">
        <v>2869.8999020000001</v>
      </c>
      <c r="L134">
        <v>2841.3500979999999</v>
      </c>
      <c r="M134">
        <v>2857.8999020000001</v>
      </c>
      <c r="N134">
        <v>2785.242432</v>
      </c>
      <c r="O134">
        <v>313906</v>
      </c>
      <c r="Z134" s="5">
        <v>44816</v>
      </c>
      <c r="AA134" s="6">
        <f>INDEX($A:$P,MATCH(Z134,$A:$A,0),MATCH($AA$1,$A$1:$P$1,0))</f>
        <v>2857.8999020000001</v>
      </c>
      <c r="AB134" s="6">
        <f>INDEX($A:$P,MATCH(Z134,$A:$A,0),MATCH($AB$1,$A$1:$P$1,0))</f>
        <v>402</v>
      </c>
    </row>
    <row r="135" spans="1:28" x14ac:dyDescent="0.3">
      <c r="A135" s="1">
        <v>44817</v>
      </c>
      <c r="C135">
        <v>400.5</v>
      </c>
      <c r="D135">
        <v>400.5</v>
      </c>
      <c r="E135">
        <v>392.5</v>
      </c>
      <c r="F135">
        <v>393.60000600000001</v>
      </c>
      <c r="G135">
        <v>393.60000600000001</v>
      </c>
      <c r="H135">
        <v>2257842</v>
      </c>
      <c r="J135">
        <v>2836</v>
      </c>
      <c r="K135">
        <v>2903</v>
      </c>
      <c r="L135">
        <v>2832</v>
      </c>
      <c r="M135">
        <v>2870</v>
      </c>
      <c r="N135">
        <v>2797.0349120000001</v>
      </c>
      <c r="O135">
        <v>766550</v>
      </c>
      <c r="Z135" s="5">
        <v>44817</v>
      </c>
      <c r="AA135" s="6">
        <f>INDEX($A:$P,MATCH(Z135,$A:$A,0),MATCH($AA$1,$A$1:$P$1,0))</f>
        <v>2870</v>
      </c>
      <c r="AB135" s="6">
        <f>INDEX($A:$P,MATCH(Z135,$A:$A,0),MATCH($AB$1,$A$1:$P$1,0))</f>
        <v>400.5</v>
      </c>
    </row>
    <row r="136" spans="1:28" x14ac:dyDescent="0.3">
      <c r="A136" s="1">
        <v>44818</v>
      </c>
      <c r="C136">
        <v>385.75</v>
      </c>
      <c r="D136">
        <v>397</v>
      </c>
      <c r="E136">
        <v>383.29998799999998</v>
      </c>
      <c r="F136">
        <v>384.54998799999998</v>
      </c>
      <c r="G136">
        <v>384.54998799999998</v>
      </c>
      <c r="H136">
        <v>3469526</v>
      </c>
      <c r="J136">
        <v>2830</v>
      </c>
      <c r="K136">
        <v>2869.6999510000001</v>
      </c>
      <c r="L136">
        <v>2830</v>
      </c>
      <c r="M136">
        <v>2851.5</v>
      </c>
      <c r="N136">
        <v>2779.0051269999999</v>
      </c>
      <c r="O136">
        <v>519643</v>
      </c>
      <c r="Z136" s="5">
        <v>44818</v>
      </c>
      <c r="AA136" s="6">
        <f>INDEX($A:$P,MATCH(Z136,$A:$A,0),MATCH($AA$1,$A$1:$P$1,0))</f>
        <v>2851.5</v>
      </c>
      <c r="AB136" s="6">
        <f>INDEX($A:$P,MATCH(Z136,$A:$A,0),MATCH($AB$1,$A$1:$P$1,0))</f>
        <v>385.75</v>
      </c>
    </row>
    <row r="137" spans="1:28" x14ac:dyDescent="0.3">
      <c r="A137" s="1">
        <v>44819</v>
      </c>
      <c r="C137">
        <v>389.5</v>
      </c>
      <c r="D137">
        <v>399.95001200000002</v>
      </c>
      <c r="E137">
        <v>383</v>
      </c>
      <c r="F137">
        <v>399.20001200000002</v>
      </c>
      <c r="G137">
        <v>399.20001200000002</v>
      </c>
      <c r="H137">
        <v>2988397</v>
      </c>
      <c r="J137">
        <v>2855</v>
      </c>
      <c r="K137">
        <v>2855</v>
      </c>
      <c r="L137">
        <v>2766.5500489999999</v>
      </c>
      <c r="M137">
        <v>2790.3000489999999</v>
      </c>
      <c r="N137">
        <v>2719.3610840000001</v>
      </c>
      <c r="O137">
        <v>1010823</v>
      </c>
      <c r="Z137" s="5">
        <v>44819</v>
      </c>
      <c r="AA137" s="6">
        <f>INDEX($A:$P,MATCH(Z137,$A:$A,0),MATCH($AA$1,$A$1:$P$1,0))</f>
        <v>2790.3000489999999</v>
      </c>
      <c r="AB137" s="6">
        <f>INDEX($A:$P,MATCH(Z137,$A:$A,0),MATCH($AB$1,$A$1:$P$1,0))</f>
        <v>389.5</v>
      </c>
    </row>
    <row r="138" spans="1:28" x14ac:dyDescent="0.3">
      <c r="A138" s="1">
        <v>44820</v>
      </c>
      <c r="C138">
        <v>399</v>
      </c>
      <c r="D138">
        <v>399.89999399999999</v>
      </c>
      <c r="E138">
        <v>383</v>
      </c>
      <c r="F138">
        <v>387.75</v>
      </c>
      <c r="G138">
        <v>387.75</v>
      </c>
      <c r="H138">
        <v>2709516</v>
      </c>
      <c r="J138">
        <v>2804.3000489999999</v>
      </c>
      <c r="K138">
        <v>2804.3000489999999</v>
      </c>
      <c r="L138">
        <v>2670</v>
      </c>
      <c r="M138">
        <v>2685.1999510000001</v>
      </c>
      <c r="N138">
        <v>2616.9331050000001</v>
      </c>
      <c r="O138">
        <v>1906557</v>
      </c>
      <c r="Z138" s="5">
        <v>44820</v>
      </c>
      <c r="AA138" s="6">
        <f>INDEX($A:$P,MATCH(Z138,$A:$A,0),MATCH($AA$1,$A$1:$P$1,0))</f>
        <v>2685.1999510000001</v>
      </c>
      <c r="AB138" s="6">
        <f>INDEX($A:$P,MATCH(Z138,$A:$A,0),MATCH($AB$1,$A$1:$P$1,0))</f>
        <v>399</v>
      </c>
    </row>
    <row r="139" spans="1:28" x14ac:dyDescent="0.3">
      <c r="A139" s="1">
        <v>44823</v>
      </c>
      <c r="C139">
        <v>390</v>
      </c>
      <c r="D139">
        <v>394.75</v>
      </c>
      <c r="E139">
        <v>384</v>
      </c>
      <c r="F139">
        <v>391.85000600000001</v>
      </c>
      <c r="G139">
        <v>391.85000600000001</v>
      </c>
      <c r="H139">
        <v>2823886</v>
      </c>
      <c r="J139">
        <v>2698.6499020000001</v>
      </c>
      <c r="K139">
        <v>2724.9499510000001</v>
      </c>
      <c r="L139">
        <v>2664.8500979999999</v>
      </c>
      <c r="M139">
        <v>2704.3999020000001</v>
      </c>
      <c r="N139">
        <v>2635.6447750000002</v>
      </c>
      <c r="O139">
        <v>534862</v>
      </c>
      <c r="Z139" s="5">
        <v>44823</v>
      </c>
      <c r="AA139" s="6">
        <f>INDEX($A:$P,MATCH(Z139,$A:$A,0),MATCH($AA$1,$A$1:$P$1,0))</f>
        <v>2704.3999020000001</v>
      </c>
      <c r="AB139" s="6">
        <f>INDEX($A:$P,MATCH(Z139,$A:$A,0),MATCH($AB$1,$A$1:$P$1,0))</f>
        <v>390</v>
      </c>
    </row>
    <row r="140" spans="1:28" x14ac:dyDescent="0.3">
      <c r="A140" s="1">
        <v>44824</v>
      </c>
      <c r="C140">
        <v>393</v>
      </c>
      <c r="D140">
        <v>409.14999399999999</v>
      </c>
      <c r="E140">
        <v>388.25</v>
      </c>
      <c r="F140">
        <v>398.25</v>
      </c>
      <c r="G140">
        <v>398.25</v>
      </c>
      <c r="H140">
        <v>3996416</v>
      </c>
      <c r="J140">
        <v>2717.9499510000001</v>
      </c>
      <c r="K140">
        <v>2823.25</v>
      </c>
      <c r="L140">
        <v>2714.6499020000001</v>
      </c>
      <c r="M140">
        <v>2771.5500489999999</v>
      </c>
      <c r="N140">
        <v>2701.0878910000001</v>
      </c>
      <c r="O140">
        <v>1009201</v>
      </c>
      <c r="Z140" s="5">
        <v>44824</v>
      </c>
      <c r="AA140" s="6">
        <f>INDEX($A:$P,MATCH(Z140,$A:$A,0),MATCH($AA$1,$A$1:$P$1,0))</f>
        <v>2771.5500489999999</v>
      </c>
      <c r="AB140" s="6">
        <f>INDEX($A:$P,MATCH(Z140,$A:$A,0),MATCH($AB$1,$A$1:$P$1,0))</f>
        <v>393</v>
      </c>
    </row>
    <row r="141" spans="1:28" x14ac:dyDescent="0.3">
      <c r="A141" s="1">
        <v>44825</v>
      </c>
      <c r="C141">
        <v>398.89999399999999</v>
      </c>
      <c r="D141">
        <v>405</v>
      </c>
      <c r="E141">
        <v>384</v>
      </c>
      <c r="F141">
        <v>390.5</v>
      </c>
      <c r="G141">
        <v>390.5</v>
      </c>
      <c r="H141">
        <v>3388489</v>
      </c>
      <c r="J141">
        <v>2785</v>
      </c>
      <c r="K141">
        <v>2807.9499510000001</v>
      </c>
      <c r="L141">
        <v>2767.6000979999999</v>
      </c>
      <c r="M141">
        <v>2776.6499020000001</v>
      </c>
      <c r="N141">
        <v>2706.0581050000001</v>
      </c>
      <c r="O141">
        <v>447919</v>
      </c>
      <c r="Z141" s="5">
        <v>44825</v>
      </c>
      <c r="AA141" s="6">
        <f>INDEX($A:$P,MATCH(Z141,$A:$A,0),MATCH($AA$1,$A$1:$P$1,0))</f>
        <v>2776.6499020000001</v>
      </c>
      <c r="AB141" s="6">
        <f>INDEX($A:$P,MATCH(Z141,$A:$A,0),MATCH($AB$1,$A$1:$P$1,0))</f>
        <v>398.89999399999999</v>
      </c>
    </row>
    <row r="142" spans="1:28" x14ac:dyDescent="0.3">
      <c r="A142" s="1">
        <v>44826</v>
      </c>
      <c r="C142">
        <v>388</v>
      </c>
      <c r="D142">
        <v>400</v>
      </c>
      <c r="E142">
        <v>383.39999399999999</v>
      </c>
      <c r="F142">
        <v>396.25</v>
      </c>
      <c r="G142">
        <v>396.25</v>
      </c>
      <c r="H142">
        <v>1971580</v>
      </c>
      <c r="J142">
        <v>2776.6499020000001</v>
      </c>
      <c r="K142">
        <v>2799.3500979999999</v>
      </c>
      <c r="L142">
        <v>2733</v>
      </c>
      <c r="M142">
        <v>2776.9499510000001</v>
      </c>
      <c r="N142">
        <v>2706.3503420000002</v>
      </c>
      <c r="O142">
        <v>328914</v>
      </c>
      <c r="Z142" s="5">
        <v>44826</v>
      </c>
      <c r="AA142" s="6">
        <f>INDEX($A:$P,MATCH(Z142,$A:$A,0),MATCH($AA$1,$A$1:$P$1,0))</f>
        <v>2776.9499510000001</v>
      </c>
      <c r="AB142" s="6">
        <f>INDEX($A:$P,MATCH(Z142,$A:$A,0),MATCH($AB$1,$A$1:$P$1,0))</f>
        <v>388</v>
      </c>
    </row>
    <row r="143" spans="1:28" x14ac:dyDescent="0.3">
      <c r="A143" s="1">
        <v>44827</v>
      </c>
      <c r="C143">
        <v>396.25</v>
      </c>
      <c r="D143">
        <v>397</v>
      </c>
      <c r="E143">
        <v>383.85000600000001</v>
      </c>
      <c r="F143">
        <v>385.60000600000001</v>
      </c>
      <c r="G143">
        <v>385.60000600000001</v>
      </c>
      <c r="H143">
        <v>2420004</v>
      </c>
      <c r="J143">
        <v>2790.8999020000001</v>
      </c>
      <c r="K143">
        <v>2812.25</v>
      </c>
      <c r="L143">
        <v>2742.3999020000001</v>
      </c>
      <c r="M143">
        <v>2762.0500489999999</v>
      </c>
      <c r="N143">
        <v>2691.829346</v>
      </c>
      <c r="O143">
        <v>408930</v>
      </c>
      <c r="Z143" s="5">
        <v>44827</v>
      </c>
      <c r="AA143" s="6">
        <f>INDEX($A:$P,MATCH(Z143,$A:$A,0),MATCH($AA$1,$A$1:$P$1,0))</f>
        <v>2762.0500489999999</v>
      </c>
      <c r="AB143" s="6">
        <f>INDEX($A:$P,MATCH(Z143,$A:$A,0),MATCH($AB$1,$A$1:$P$1,0))</f>
        <v>396.25</v>
      </c>
    </row>
    <row r="144" spans="1:28" x14ac:dyDescent="0.3">
      <c r="A144" s="1">
        <v>44830</v>
      </c>
      <c r="C144">
        <v>380</v>
      </c>
      <c r="D144">
        <v>380</v>
      </c>
      <c r="E144">
        <v>366.35000600000001</v>
      </c>
      <c r="F144">
        <v>366.5</v>
      </c>
      <c r="G144">
        <v>366.5</v>
      </c>
      <c r="H144">
        <v>2988611</v>
      </c>
      <c r="J144">
        <v>2740</v>
      </c>
      <c r="K144">
        <v>2754.8500979999999</v>
      </c>
      <c r="L144">
        <v>2670.1999510000001</v>
      </c>
      <c r="M144">
        <v>2721.3500979999999</v>
      </c>
      <c r="N144">
        <v>2652.1640630000002</v>
      </c>
      <c r="O144">
        <v>610918</v>
      </c>
      <c r="Z144" s="5">
        <v>44830</v>
      </c>
      <c r="AA144" s="6">
        <f>INDEX($A:$P,MATCH(Z144,$A:$A,0),MATCH($AA$1,$A$1:$P$1,0))</f>
        <v>2721.3500979999999</v>
      </c>
      <c r="AB144" s="6">
        <f>INDEX($A:$P,MATCH(Z144,$A:$A,0),MATCH($AB$1,$A$1:$P$1,0))</f>
        <v>380</v>
      </c>
    </row>
    <row r="145" spans="1:28" x14ac:dyDescent="0.3">
      <c r="A145" s="1">
        <v>44831</v>
      </c>
      <c r="C145">
        <v>363.95001200000002</v>
      </c>
      <c r="D145">
        <v>383</v>
      </c>
      <c r="E145">
        <v>362</v>
      </c>
      <c r="F145">
        <v>372.54998799999998</v>
      </c>
      <c r="G145">
        <v>372.54998799999998</v>
      </c>
      <c r="H145">
        <v>2339421</v>
      </c>
      <c r="J145">
        <v>2735</v>
      </c>
      <c r="K145">
        <v>2735</v>
      </c>
      <c r="L145">
        <v>2630</v>
      </c>
      <c r="M145">
        <v>2638.25</v>
      </c>
      <c r="N145">
        <v>2571.1767580000001</v>
      </c>
      <c r="O145">
        <v>740040</v>
      </c>
      <c r="Z145" s="5">
        <v>44831</v>
      </c>
      <c r="AA145" s="6">
        <f>INDEX($A:$P,MATCH(Z145,$A:$A,0),MATCH($AA$1,$A$1:$P$1,0))</f>
        <v>2638.25</v>
      </c>
      <c r="AB145" s="6">
        <f>INDEX($A:$P,MATCH(Z145,$A:$A,0),MATCH($AB$1,$A$1:$P$1,0))</f>
        <v>363.95001200000002</v>
      </c>
    </row>
    <row r="146" spans="1:28" x14ac:dyDescent="0.3">
      <c r="A146" s="1">
        <v>44832</v>
      </c>
      <c r="C146">
        <v>370</v>
      </c>
      <c r="D146">
        <v>382.04998799999998</v>
      </c>
      <c r="E146">
        <v>366</v>
      </c>
      <c r="F146">
        <v>367.75</v>
      </c>
      <c r="G146">
        <v>367.75</v>
      </c>
      <c r="H146">
        <v>1676824</v>
      </c>
      <c r="J146">
        <v>2600</v>
      </c>
      <c r="K146">
        <v>2625</v>
      </c>
      <c r="L146">
        <v>2575.1000979999999</v>
      </c>
      <c r="M146">
        <v>2591.3500979999999</v>
      </c>
      <c r="N146">
        <v>2525.4692380000001</v>
      </c>
      <c r="O146">
        <v>923391</v>
      </c>
      <c r="Z146" s="5">
        <v>44832</v>
      </c>
      <c r="AA146" s="6">
        <f>INDEX($A:$P,MATCH(Z146,$A:$A,0),MATCH($AA$1,$A$1:$P$1,0))</f>
        <v>2591.3500979999999</v>
      </c>
      <c r="AB146" s="6">
        <f>INDEX($A:$P,MATCH(Z146,$A:$A,0),MATCH($AB$1,$A$1:$P$1,0))</f>
        <v>370</v>
      </c>
    </row>
    <row r="147" spans="1:28" x14ac:dyDescent="0.3">
      <c r="A147" s="1">
        <v>44833</v>
      </c>
      <c r="C147">
        <v>374.70001200000002</v>
      </c>
      <c r="D147">
        <v>379.89999399999999</v>
      </c>
      <c r="E147">
        <v>367.5</v>
      </c>
      <c r="F147">
        <v>369.45001200000002</v>
      </c>
      <c r="G147">
        <v>369.45001200000002</v>
      </c>
      <c r="H147">
        <v>1385006</v>
      </c>
      <c r="J147">
        <v>2600.0500489999999</v>
      </c>
      <c r="K147">
        <v>2604.3500979999999</v>
      </c>
      <c r="L147">
        <v>2525</v>
      </c>
      <c r="M147">
        <v>2536.3000489999999</v>
      </c>
      <c r="N147">
        <v>2471.8186040000001</v>
      </c>
      <c r="O147">
        <v>1057406</v>
      </c>
      <c r="Z147" s="5">
        <v>44833</v>
      </c>
      <c r="AA147" s="6">
        <f>INDEX($A:$P,MATCH(Z147,$A:$A,0),MATCH($AA$1,$A$1:$P$1,0))</f>
        <v>2536.3000489999999</v>
      </c>
      <c r="AB147" s="6">
        <f>INDEX($A:$P,MATCH(Z147,$A:$A,0),MATCH($AB$1,$A$1:$P$1,0))</f>
        <v>374.70001200000002</v>
      </c>
    </row>
    <row r="148" spans="1:28" x14ac:dyDescent="0.3">
      <c r="A148" s="1">
        <v>44834</v>
      </c>
      <c r="C148">
        <v>366</v>
      </c>
      <c r="D148">
        <v>376</v>
      </c>
      <c r="E148">
        <v>366</v>
      </c>
      <c r="F148">
        <v>373.5</v>
      </c>
      <c r="G148">
        <v>373.5</v>
      </c>
      <c r="H148">
        <v>1690723</v>
      </c>
      <c r="J148">
        <v>2549</v>
      </c>
      <c r="K148">
        <v>2592.1499020000001</v>
      </c>
      <c r="L148">
        <v>2510</v>
      </c>
      <c r="M148">
        <v>2549.1999510000001</v>
      </c>
      <c r="N148">
        <v>2484.390625</v>
      </c>
      <c r="O148">
        <v>706844</v>
      </c>
      <c r="Z148" s="5">
        <v>44834</v>
      </c>
      <c r="AA148" s="6">
        <f>INDEX($A:$P,MATCH(Z148,$A:$A,0),MATCH($AA$1,$A$1:$P$1,0))</f>
        <v>2549.1999510000001</v>
      </c>
      <c r="AB148" s="6">
        <f>INDEX($A:$P,MATCH(Z148,$A:$A,0),MATCH($AB$1,$A$1:$P$1,0))</f>
        <v>366</v>
      </c>
    </row>
    <row r="149" spans="1:28" x14ac:dyDescent="0.3">
      <c r="A149" s="1">
        <v>44837</v>
      </c>
      <c r="C149">
        <v>375</v>
      </c>
      <c r="D149">
        <v>375.70001200000002</v>
      </c>
      <c r="E149">
        <v>354.85000600000001</v>
      </c>
      <c r="F149">
        <v>354.85000600000001</v>
      </c>
      <c r="G149">
        <v>354.85000600000001</v>
      </c>
      <c r="H149">
        <v>1931959</v>
      </c>
      <c r="J149">
        <v>2538.5</v>
      </c>
      <c r="K149">
        <v>2573.9499510000001</v>
      </c>
      <c r="L149">
        <v>2520.4499510000001</v>
      </c>
      <c r="M149">
        <v>2525.5500489999999</v>
      </c>
      <c r="N149">
        <v>2461.3420409999999</v>
      </c>
      <c r="O149">
        <v>658511</v>
      </c>
      <c r="Z149" s="5">
        <v>44837</v>
      </c>
      <c r="AA149" s="6">
        <f>INDEX($A:$P,MATCH(Z149,$A:$A,0),MATCH($AA$1,$A$1:$P$1,0))</f>
        <v>2525.5500489999999</v>
      </c>
      <c r="AB149" s="6">
        <f>INDEX($A:$P,MATCH(Z149,$A:$A,0),MATCH($AB$1,$A$1:$P$1,0))</f>
        <v>375</v>
      </c>
    </row>
    <row r="150" spans="1:28" x14ac:dyDescent="0.3">
      <c r="A150" s="1">
        <v>44838</v>
      </c>
      <c r="C150">
        <v>360</v>
      </c>
      <c r="D150">
        <v>368</v>
      </c>
      <c r="E150">
        <v>337.14999399999999</v>
      </c>
      <c r="F150">
        <v>352.5</v>
      </c>
      <c r="G150">
        <v>352.5</v>
      </c>
      <c r="H150">
        <v>2779946</v>
      </c>
      <c r="J150">
        <v>2580</v>
      </c>
      <c r="K150">
        <v>2627.8999020000001</v>
      </c>
      <c r="L150">
        <v>2561.1000979999999</v>
      </c>
      <c r="M150">
        <v>2621.8000489999999</v>
      </c>
      <c r="N150">
        <v>2555.1450199999999</v>
      </c>
      <c r="O150">
        <v>391128</v>
      </c>
      <c r="Z150" s="5">
        <v>44838</v>
      </c>
      <c r="AA150" s="6">
        <f>INDEX($A:$P,MATCH(Z150,$A:$A,0),MATCH($AA$1,$A$1:$P$1,0))</f>
        <v>2621.8000489999999</v>
      </c>
      <c r="AB150" s="6">
        <f>INDEX($A:$P,MATCH(Z150,$A:$A,0),MATCH($AB$1,$A$1:$P$1,0))</f>
        <v>360</v>
      </c>
    </row>
    <row r="151" spans="1:28" x14ac:dyDescent="0.3">
      <c r="A151" s="1">
        <v>44840</v>
      </c>
      <c r="C151">
        <v>354.75</v>
      </c>
      <c r="D151">
        <v>370.10000600000001</v>
      </c>
      <c r="E151">
        <v>353.54998799999998</v>
      </c>
      <c r="F151">
        <v>370.10000600000001</v>
      </c>
      <c r="G151">
        <v>370.10000600000001</v>
      </c>
      <c r="H151">
        <v>1994184</v>
      </c>
      <c r="J151">
        <v>2654</v>
      </c>
      <c r="K151">
        <v>2663.6499020000001</v>
      </c>
      <c r="L151">
        <v>2630.25</v>
      </c>
      <c r="M151">
        <v>2646.1000979999999</v>
      </c>
      <c r="N151">
        <v>2578.8271479999999</v>
      </c>
      <c r="O151">
        <v>463669</v>
      </c>
      <c r="Z151" s="5">
        <v>44840</v>
      </c>
      <c r="AA151" s="6">
        <f>INDEX($A:$P,MATCH(Z151,$A:$A,0),MATCH($AA$1,$A$1:$P$1,0))</f>
        <v>2646.1000979999999</v>
      </c>
      <c r="AB151" s="6">
        <f>INDEX($A:$P,MATCH(Z151,$A:$A,0),MATCH($AB$1,$A$1:$P$1,0))</f>
        <v>354.75</v>
      </c>
    </row>
    <row r="152" spans="1:28" x14ac:dyDescent="0.3">
      <c r="A152" s="1">
        <v>44841</v>
      </c>
      <c r="C152">
        <v>374.89999399999999</v>
      </c>
      <c r="D152">
        <v>377.79998799999998</v>
      </c>
      <c r="E152">
        <v>365.29998799999998</v>
      </c>
      <c r="F152">
        <v>372.85000600000001</v>
      </c>
      <c r="G152">
        <v>372.85000600000001</v>
      </c>
      <c r="H152">
        <v>1879863</v>
      </c>
      <c r="J152">
        <v>2684.8999020000001</v>
      </c>
      <c r="K152">
        <v>2734.8999020000001</v>
      </c>
      <c r="L152">
        <v>2609.8999020000001</v>
      </c>
      <c r="M152">
        <v>2624.9499510000001</v>
      </c>
      <c r="N152">
        <v>2558.2148440000001</v>
      </c>
      <c r="O152">
        <v>1065099</v>
      </c>
      <c r="Z152" s="5">
        <v>44841</v>
      </c>
      <c r="AA152" s="6">
        <f>INDEX($A:$P,MATCH(Z152,$A:$A,0),MATCH($AA$1,$A$1:$P$1,0))</f>
        <v>2624.9499510000001</v>
      </c>
      <c r="AB152" s="6">
        <f>INDEX($A:$P,MATCH(Z152,$A:$A,0),MATCH($AB$1,$A$1:$P$1,0))</f>
        <v>374.89999399999999</v>
      </c>
    </row>
    <row r="153" spans="1:28" x14ac:dyDescent="0.3">
      <c r="A153" s="1">
        <v>44844</v>
      </c>
      <c r="C153">
        <v>366</v>
      </c>
      <c r="D153">
        <v>370.39999399999999</v>
      </c>
      <c r="E153">
        <v>361.60000600000001</v>
      </c>
      <c r="F153">
        <v>365.35000600000001</v>
      </c>
      <c r="G153">
        <v>365.35000600000001</v>
      </c>
      <c r="H153">
        <v>1240213</v>
      </c>
      <c r="J153">
        <v>2599.8000489999999</v>
      </c>
      <c r="K153">
        <v>2599.8000489999999</v>
      </c>
      <c r="L153">
        <v>2531.3999020000001</v>
      </c>
      <c r="M153">
        <v>2570.5</v>
      </c>
      <c r="N153">
        <v>2505.1491700000001</v>
      </c>
      <c r="O153">
        <v>1076512</v>
      </c>
      <c r="Z153" s="5">
        <v>44844</v>
      </c>
      <c r="AA153" s="6">
        <f>INDEX($A:$P,MATCH(Z153,$A:$A,0),MATCH($AA$1,$A$1:$P$1,0))</f>
        <v>2570.5</v>
      </c>
      <c r="AB153" s="6">
        <f>INDEX($A:$P,MATCH(Z153,$A:$A,0),MATCH($AB$1,$A$1:$P$1,0))</f>
        <v>366</v>
      </c>
    </row>
    <row r="154" spans="1:28" x14ac:dyDescent="0.3">
      <c r="A154" s="1">
        <v>44845</v>
      </c>
      <c r="C154">
        <v>369.95001200000002</v>
      </c>
      <c r="D154">
        <v>369.95001200000002</v>
      </c>
      <c r="E154">
        <v>354.5</v>
      </c>
      <c r="F154">
        <v>356.85000600000001</v>
      </c>
      <c r="G154">
        <v>356.85000600000001</v>
      </c>
      <c r="H154">
        <v>1291290</v>
      </c>
      <c r="J154">
        <v>2575</v>
      </c>
      <c r="K154">
        <v>2575.5</v>
      </c>
      <c r="L154">
        <v>2533.8000489999999</v>
      </c>
      <c r="M154">
        <v>2548.1499020000001</v>
      </c>
      <c r="N154">
        <v>2483.3671880000002</v>
      </c>
      <c r="O154">
        <v>407068</v>
      </c>
      <c r="Z154" s="5">
        <v>44845</v>
      </c>
      <c r="AA154" s="6">
        <f>INDEX($A:$P,MATCH(Z154,$A:$A,0),MATCH($AA$1,$A$1:$P$1,0))</f>
        <v>2548.1499020000001</v>
      </c>
      <c r="AB154" s="6">
        <f>INDEX($A:$P,MATCH(Z154,$A:$A,0),MATCH($AB$1,$A$1:$P$1,0))</f>
        <v>369.95001200000002</v>
      </c>
    </row>
    <row r="155" spans="1:28" x14ac:dyDescent="0.3">
      <c r="A155" s="1">
        <v>44846</v>
      </c>
      <c r="C155">
        <v>356.85000600000001</v>
      </c>
      <c r="D155">
        <v>360</v>
      </c>
      <c r="E155">
        <v>340</v>
      </c>
      <c r="F155">
        <v>356.79998799999998</v>
      </c>
      <c r="G155">
        <v>356.79998799999998</v>
      </c>
      <c r="H155">
        <v>1955604</v>
      </c>
      <c r="J155">
        <v>2550</v>
      </c>
      <c r="K155">
        <v>2564.4499510000001</v>
      </c>
      <c r="L155">
        <v>2516.1000979999999</v>
      </c>
      <c r="M155">
        <v>2550.0500489999999</v>
      </c>
      <c r="N155">
        <v>2485.2189939999998</v>
      </c>
      <c r="O155">
        <v>401910</v>
      </c>
      <c r="Z155" s="5">
        <v>44846</v>
      </c>
      <c r="AA155" s="6">
        <f>INDEX($A:$P,MATCH(Z155,$A:$A,0),MATCH($AA$1,$A$1:$P$1,0))</f>
        <v>2550.0500489999999</v>
      </c>
      <c r="AB155" s="6">
        <f>INDEX($A:$P,MATCH(Z155,$A:$A,0),MATCH($AB$1,$A$1:$P$1,0))</f>
        <v>356.85000600000001</v>
      </c>
    </row>
    <row r="156" spans="1:28" x14ac:dyDescent="0.3">
      <c r="A156" s="1">
        <v>44847</v>
      </c>
      <c r="C156">
        <v>356.95001200000002</v>
      </c>
      <c r="D156">
        <v>356.95001200000002</v>
      </c>
      <c r="E156">
        <v>341.70001200000002</v>
      </c>
      <c r="F156">
        <v>346.85000600000001</v>
      </c>
      <c r="G156">
        <v>346.85000600000001</v>
      </c>
      <c r="H156">
        <v>1634737</v>
      </c>
      <c r="J156">
        <v>2553</v>
      </c>
      <c r="K156">
        <v>2574.3000489999999</v>
      </c>
      <c r="L156">
        <v>2532</v>
      </c>
      <c r="M156">
        <v>2546.4499510000001</v>
      </c>
      <c r="N156">
        <v>2481.7104490000002</v>
      </c>
      <c r="O156">
        <v>239037</v>
      </c>
      <c r="Z156" s="5">
        <v>44847</v>
      </c>
      <c r="AA156" s="6">
        <f>INDEX($A:$P,MATCH(Z156,$A:$A,0),MATCH($AA$1,$A$1:$P$1,0))</f>
        <v>2546.4499510000001</v>
      </c>
      <c r="AB156" s="6">
        <f>INDEX($A:$P,MATCH(Z156,$A:$A,0),MATCH($AB$1,$A$1:$P$1,0))</f>
        <v>356.95001200000002</v>
      </c>
    </row>
    <row r="157" spans="1:28" x14ac:dyDescent="0.3">
      <c r="A157" s="1">
        <v>44848</v>
      </c>
      <c r="C157">
        <v>355</v>
      </c>
      <c r="D157">
        <v>358.85000600000001</v>
      </c>
      <c r="E157">
        <v>329.54998799999998</v>
      </c>
      <c r="F157">
        <v>331.25</v>
      </c>
      <c r="G157">
        <v>331.25</v>
      </c>
      <c r="H157">
        <v>2538711</v>
      </c>
      <c r="J157">
        <v>2575.5</v>
      </c>
      <c r="K157">
        <v>2585</v>
      </c>
      <c r="L157">
        <v>2529.0500489999999</v>
      </c>
      <c r="M157">
        <v>2535.8999020000001</v>
      </c>
      <c r="N157">
        <v>2471.428711</v>
      </c>
      <c r="O157">
        <v>250851</v>
      </c>
      <c r="Z157" s="5">
        <v>44848</v>
      </c>
      <c r="AA157" s="6">
        <f>INDEX($A:$P,MATCH(Z157,$A:$A,0),MATCH($AA$1,$A$1:$P$1,0))</f>
        <v>2535.8999020000001</v>
      </c>
      <c r="AB157" s="6">
        <f>INDEX($A:$P,MATCH(Z157,$A:$A,0),MATCH($AB$1,$A$1:$P$1,0))</f>
        <v>355</v>
      </c>
    </row>
    <row r="158" spans="1:28" x14ac:dyDescent="0.3">
      <c r="A158" s="1">
        <v>44851</v>
      </c>
      <c r="C158">
        <v>330</v>
      </c>
      <c r="D158">
        <v>342.20001200000002</v>
      </c>
      <c r="E158">
        <v>315.25</v>
      </c>
      <c r="F158">
        <v>340.64999399999999</v>
      </c>
      <c r="G158">
        <v>340.64999399999999</v>
      </c>
      <c r="H158">
        <v>2701207</v>
      </c>
      <c r="J158">
        <v>2524</v>
      </c>
      <c r="K158">
        <v>2570</v>
      </c>
      <c r="L158">
        <v>2521.5500489999999</v>
      </c>
      <c r="M158">
        <v>2553.6999510000001</v>
      </c>
      <c r="N158">
        <v>2488.7761230000001</v>
      </c>
      <c r="O158">
        <v>257635</v>
      </c>
      <c r="Z158" s="5">
        <v>44851</v>
      </c>
      <c r="AA158" s="6">
        <f>INDEX($A:$P,MATCH(Z158,$A:$A,0),MATCH($AA$1,$A$1:$P$1,0))</f>
        <v>2553.6999510000001</v>
      </c>
      <c r="AB158" s="6">
        <f>INDEX($A:$P,MATCH(Z158,$A:$A,0),MATCH($AB$1,$A$1:$P$1,0))</f>
        <v>330</v>
      </c>
    </row>
    <row r="159" spans="1:28" x14ac:dyDescent="0.3">
      <c r="A159" s="1">
        <v>44852</v>
      </c>
      <c r="C159">
        <v>341</v>
      </c>
      <c r="D159">
        <v>349.04998799999998</v>
      </c>
      <c r="E159">
        <v>339.29998799999998</v>
      </c>
      <c r="F159">
        <v>345.60000600000001</v>
      </c>
      <c r="G159">
        <v>345.60000600000001</v>
      </c>
      <c r="H159">
        <v>1546923</v>
      </c>
      <c r="J159">
        <v>2566.5</v>
      </c>
      <c r="K159">
        <v>2596.75</v>
      </c>
      <c r="L159">
        <v>2534.6999510000001</v>
      </c>
      <c r="M159">
        <v>2562</v>
      </c>
      <c r="N159">
        <v>2496.8652339999999</v>
      </c>
      <c r="O159">
        <v>454003</v>
      </c>
      <c r="Z159" s="5">
        <v>44852</v>
      </c>
      <c r="AA159" s="6">
        <f>INDEX($A:$P,MATCH(Z159,$A:$A,0),MATCH($AA$1,$A$1:$P$1,0))</f>
        <v>2562</v>
      </c>
      <c r="AB159" s="6">
        <f>INDEX($A:$P,MATCH(Z159,$A:$A,0),MATCH($AB$1,$A$1:$P$1,0))</f>
        <v>341</v>
      </c>
    </row>
    <row r="160" spans="1:28" x14ac:dyDescent="0.3">
      <c r="A160" s="1">
        <v>44853</v>
      </c>
      <c r="C160">
        <v>345.60000600000001</v>
      </c>
      <c r="D160">
        <v>347.95001200000002</v>
      </c>
      <c r="E160">
        <v>330.29998799999998</v>
      </c>
      <c r="F160">
        <v>333.60000600000001</v>
      </c>
      <c r="G160">
        <v>333.60000600000001</v>
      </c>
      <c r="H160">
        <v>1655056</v>
      </c>
      <c r="J160">
        <v>2574</v>
      </c>
      <c r="K160">
        <v>2574</v>
      </c>
      <c r="L160">
        <v>2532.1999510000001</v>
      </c>
      <c r="M160">
        <v>2541.1999510000001</v>
      </c>
      <c r="N160">
        <v>2476.5939939999998</v>
      </c>
      <c r="O160">
        <v>375698</v>
      </c>
      <c r="Z160" s="5">
        <v>44853</v>
      </c>
      <c r="AA160" s="6">
        <f>INDEX($A:$P,MATCH(Z160,$A:$A,0),MATCH($AA$1,$A$1:$P$1,0))</f>
        <v>2541.1999510000001</v>
      </c>
      <c r="AB160" s="6">
        <f>INDEX($A:$P,MATCH(Z160,$A:$A,0),MATCH($AB$1,$A$1:$P$1,0))</f>
        <v>345.60000600000001</v>
      </c>
    </row>
    <row r="161" spans="1:28" x14ac:dyDescent="0.3">
      <c r="A161" s="1">
        <v>44854</v>
      </c>
      <c r="C161">
        <v>331</v>
      </c>
      <c r="D161">
        <v>340</v>
      </c>
      <c r="E161">
        <v>328</v>
      </c>
      <c r="F161">
        <v>338.45001200000002</v>
      </c>
      <c r="G161">
        <v>338.45001200000002</v>
      </c>
      <c r="H161">
        <v>1259259</v>
      </c>
      <c r="J161">
        <v>2536.4499510000001</v>
      </c>
      <c r="K161">
        <v>2570</v>
      </c>
      <c r="L161">
        <v>2502.75</v>
      </c>
      <c r="M161">
        <v>2565.5500489999999</v>
      </c>
      <c r="N161">
        <v>2500.3249510000001</v>
      </c>
      <c r="O161">
        <v>364460</v>
      </c>
      <c r="Z161" s="5">
        <v>44854</v>
      </c>
      <c r="AA161" s="6">
        <f>INDEX($A:$P,MATCH(Z161,$A:$A,0),MATCH($AA$1,$A$1:$P$1,0))</f>
        <v>2565.5500489999999</v>
      </c>
      <c r="AB161" s="6">
        <f>INDEX($A:$P,MATCH(Z161,$A:$A,0),MATCH($AB$1,$A$1:$P$1,0))</f>
        <v>331</v>
      </c>
    </row>
    <row r="162" spans="1:28" x14ac:dyDescent="0.3">
      <c r="A162" s="1">
        <v>44855</v>
      </c>
      <c r="C162">
        <v>342</v>
      </c>
      <c r="D162">
        <v>342</v>
      </c>
      <c r="E162">
        <v>330</v>
      </c>
      <c r="F162">
        <v>332.20001200000002</v>
      </c>
      <c r="G162">
        <v>332.20001200000002</v>
      </c>
      <c r="H162">
        <v>1352136</v>
      </c>
      <c r="J162">
        <v>2571</v>
      </c>
      <c r="K162">
        <v>2577</v>
      </c>
      <c r="L162">
        <v>2547.9499510000001</v>
      </c>
      <c r="M162">
        <v>2569.8500979999999</v>
      </c>
      <c r="N162">
        <v>2504.5158689999998</v>
      </c>
      <c r="O162">
        <v>360297</v>
      </c>
      <c r="Z162" s="5">
        <v>44855</v>
      </c>
      <c r="AA162" s="6">
        <f>INDEX($A:$P,MATCH(Z162,$A:$A,0),MATCH($AA$1,$A$1:$P$1,0))</f>
        <v>2569.8500979999999</v>
      </c>
      <c r="AB162" s="6">
        <f>INDEX($A:$P,MATCH(Z162,$A:$A,0),MATCH($AB$1,$A$1:$P$1,0))</f>
        <v>342</v>
      </c>
    </row>
    <row r="163" spans="1:28" x14ac:dyDescent="0.3">
      <c r="A163" s="1">
        <v>44858</v>
      </c>
      <c r="C163">
        <v>337</v>
      </c>
      <c r="D163">
        <v>342</v>
      </c>
      <c r="E163">
        <v>333</v>
      </c>
      <c r="F163">
        <v>335.54998799999998</v>
      </c>
      <c r="G163">
        <v>335.54998799999998</v>
      </c>
      <c r="H163">
        <v>402414</v>
      </c>
      <c r="J163">
        <v>2586</v>
      </c>
      <c r="K163">
        <v>2590</v>
      </c>
      <c r="L163">
        <v>2575</v>
      </c>
      <c r="M163">
        <v>2581.8999020000001</v>
      </c>
      <c r="N163">
        <v>2516.2592770000001</v>
      </c>
      <c r="O163">
        <v>35097</v>
      </c>
      <c r="Z163" s="5">
        <v>44858</v>
      </c>
      <c r="AA163" s="6">
        <f>INDEX($A:$P,MATCH(Z163,$A:$A,0),MATCH($AA$1,$A$1:$P$1,0))</f>
        <v>2581.8999020000001</v>
      </c>
      <c r="AB163" s="6">
        <f>INDEX($A:$P,MATCH(Z163,$A:$A,0),MATCH($AB$1,$A$1:$P$1,0))</f>
        <v>337</v>
      </c>
    </row>
    <row r="164" spans="1:28" x14ac:dyDescent="0.3">
      <c r="A164" s="1">
        <v>44859</v>
      </c>
      <c r="C164">
        <v>336</v>
      </c>
      <c r="D164">
        <v>338.64999399999999</v>
      </c>
      <c r="E164">
        <v>330</v>
      </c>
      <c r="F164">
        <v>332.35000600000001</v>
      </c>
      <c r="G164">
        <v>332.35000600000001</v>
      </c>
      <c r="H164">
        <v>974407</v>
      </c>
      <c r="J164">
        <v>2586.1000979999999</v>
      </c>
      <c r="K164">
        <v>2602</v>
      </c>
      <c r="L164">
        <v>2566.0500489999999</v>
      </c>
      <c r="M164">
        <v>2585.6000979999999</v>
      </c>
      <c r="N164">
        <v>2519.8652339999999</v>
      </c>
      <c r="O164">
        <v>410336</v>
      </c>
      <c r="Z164" s="5">
        <v>44859</v>
      </c>
      <c r="AA164" s="6">
        <f>INDEX($A:$P,MATCH(Z164,$A:$A,0),MATCH($AA$1,$A$1:$P$1,0))</f>
        <v>2585.6000979999999</v>
      </c>
      <c r="AB164" s="6">
        <f>INDEX($A:$P,MATCH(Z164,$A:$A,0),MATCH($AB$1,$A$1:$P$1,0))</f>
        <v>336</v>
      </c>
    </row>
    <row r="165" spans="1:28" x14ac:dyDescent="0.3">
      <c r="A165" s="1">
        <v>44861</v>
      </c>
      <c r="C165">
        <v>334.95001200000002</v>
      </c>
      <c r="D165">
        <v>339.5</v>
      </c>
      <c r="E165">
        <v>331.79998799999998</v>
      </c>
      <c r="F165">
        <v>337.39999399999999</v>
      </c>
      <c r="G165">
        <v>337.39999399999999</v>
      </c>
      <c r="H165">
        <v>1134682</v>
      </c>
      <c r="J165">
        <v>2598</v>
      </c>
      <c r="K165">
        <v>2620</v>
      </c>
      <c r="L165">
        <v>2577.0500489999999</v>
      </c>
      <c r="M165">
        <v>2610.75</v>
      </c>
      <c r="N165">
        <v>2544.375732</v>
      </c>
      <c r="O165">
        <v>473043</v>
      </c>
      <c r="Z165" s="5">
        <v>44861</v>
      </c>
      <c r="AA165" s="6">
        <f>INDEX($A:$P,MATCH(Z165,$A:$A,0),MATCH($AA$1,$A$1:$P$1,0))</f>
        <v>2610.75</v>
      </c>
      <c r="AB165" s="6">
        <f>INDEX($A:$P,MATCH(Z165,$A:$A,0),MATCH($AB$1,$A$1:$P$1,0))</f>
        <v>334.95001200000002</v>
      </c>
    </row>
    <row r="166" spans="1:28" x14ac:dyDescent="0.3">
      <c r="A166" s="1">
        <v>44862</v>
      </c>
      <c r="C166">
        <v>338.35000600000001</v>
      </c>
      <c r="D166">
        <v>339.95001200000002</v>
      </c>
      <c r="E166">
        <v>332</v>
      </c>
      <c r="F166">
        <v>333.29998799999998</v>
      </c>
      <c r="G166">
        <v>333.29998799999998</v>
      </c>
      <c r="H166">
        <v>774103</v>
      </c>
      <c r="J166">
        <v>2623.8500979999999</v>
      </c>
      <c r="K166">
        <v>2674.3500979999999</v>
      </c>
      <c r="L166">
        <v>2619</v>
      </c>
      <c r="M166">
        <v>2649.8500979999999</v>
      </c>
      <c r="N166">
        <v>2582.4819339999999</v>
      </c>
      <c r="O166">
        <v>717856</v>
      </c>
      <c r="Z166" s="5">
        <v>44862</v>
      </c>
      <c r="AA166" s="6">
        <f>INDEX($A:$P,MATCH(Z166,$A:$A,0),MATCH($AA$1,$A$1:$P$1,0))</f>
        <v>2649.8500979999999</v>
      </c>
      <c r="AB166" s="6">
        <f>INDEX($A:$P,MATCH(Z166,$A:$A,0),MATCH($AB$1,$A$1:$P$1,0))</f>
        <v>338.35000600000001</v>
      </c>
    </row>
    <row r="167" spans="1:28" x14ac:dyDescent="0.3">
      <c r="A167" s="1">
        <v>44865</v>
      </c>
      <c r="C167">
        <v>334.39999399999999</v>
      </c>
      <c r="D167">
        <v>337.29998799999998</v>
      </c>
      <c r="E167">
        <v>330.10000600000001</v>
      </c>
      <c r="F167">
        <v>334.89999399999999</v>
      </c>
      <c r="G167">
        <v>334.89999399999999</v>
      </c>
      <c r="H167">
        <v>1406093</v>
      </c>
      <c r="J167">
        <v>2668</v>
      </c>
      <c r="K167">
        <v>2694.1499020000001</v>
      </c>
      <c r="L167">
        <v>2656.5</v>
      </c>
      <c r="M167">
        <v>2676.8500979999999</v>
      </c>
      <c r="N167">
        <v>2608.7954100000002</v>
      </c>
      <c r="O167">
        <v>511816</v>
      </c>
      <c r="Z167" s="5">
        <v>44865</v>
      </c>
      <c r="AA167" s="6">
        <f>INDEX($A:$P,MATCH(Z167,$A:$A,0),MATCH($AA$1,$A$1:$P$1,0))</f>
        <v>2676.8500979999999</v>
      </c>
      <c r="AB167" s="6">
        <f>INDEX($A:$P,MATCH(Z167,$A:$A,0),MATCH($AB$1,$A$1:$P$1,0))</f>
        <v>334.39999399999999</v>
      </c>
    </row>
    <row r="168" spans="1:28" x14ac:dyDescent="0.3">
      <c r="A168" s="1">
        <v>44866</v>
      </c>
      <c r="C168">
        <v>337.10000600000001</v>
      </c>
      <c r="D168">
        <v>351.60000600000001</v>
      </c>
      <c r="E168">
        <v>330.45001200000002</v>
      </c>
      <c r="F168">
        <v>348.89999399999999</v>
      </c>
      <c r="G168">
        <v>348.89999399999999</v>
      </c>
      <c r="H168">
        <v>2371160</v>
      </c>
      <c r="J168">
        <v>2690.25</v>
      </c>
      <c r="K168">
        <v>2690.8500979999999</v>
      </c>
      <c r="L168">
        <v>2639.3000489999999</v>
      </c>
      <c r="M168">
        <v>2673.1499020000001</v>
      </c>
      <c r="N168">
        <v>2605.1892090000001</v>
      </c>
      <c r="O168">
        <v>368266</v>
      </c>
      <c r="Z168" s="5">
        <v>44866</v>
      </c>
      <c r="AA168" s="6">
        <f>INDEX($A:$P,MATCH(Z168,$A:$A,0),MATCH($AA$1,$A$1:$P$1,0))</f>
        <v>2673.1499020000001</v>
      </c>
      <c r="AB168" s="6">
        <f>INDEX($A:$P,MATCH(Z168,$A:$A,0),MATCH($AB$1,$A$1:$P$1,0))</f>
        <v>337.10000600000001</v>
      </c>
    </row>
    <row r="169" spans="1:28" x14ac:dyDescent="0.3">
      <c r="A169" s="1">
        <v>44867</v>
      </c>
      <c r="C169">
        <v>350</v>
      </c>
      <c r="D169">
        <v>353.79998799999998</v>
      </c>
      <c r="E169">
        <v>337.60000600000001</v>
      </c>
      <c r="F169">
        <v>343.14999399999999</v>
      </c>
      <c r="G169">
        <v>343.14999399999999</v>
      </c>
      <c r="H169">
        <v>1677538</v>
      </c>
      <c r="J169">
        <v>2649.9499510000001</v>
      </c>
      <c r="K169">
        <v>2657.1999510000001</v>
      </c>
      <c r="L169">
        <v>2630.3500979999999</v>
      </c>
      <c r="M169">
        <v>2643.9499510000001</v>
      </c>
      <c r="N169">
        <v>2576.7316890000002</v>
      </c>
      <c r="O169">
        <v>565598</v>
      </c>
      <c r="Z169" s="5">
        <v>44867</v>
      </c>
      <c r="AA169" s="6">
        <f>INDEX($A:$P,MATCH(Z169,$A:$A,0),MATCH($AA$1,$A$1:$P$1,0))</f>
        <v>2643.9499510000001</v>
      </c>
      <c r="AB169" s="6">
        <f>INDEX($A:$P,MATCH(Z169,$A:$A,0),MATCH($AB$1,$A$1:$P$1,0))</f>
        <v>350</v>
      </c>
    </row>
    <row r="170" spans="1:28" x14ac:dyDescent="0.3">
      <c r="A170" s="1">
        <v>44868</v>
      </c>
      <c r="C170">
        <v>341</v>
      </c>
      <c r="D170">
        <v>343.39999399999999</v>
      </c>
      <c r="E170">
        <v>336.04998799999998</v>
      </c>
      <c r="F170">
        <v>336.75</v>
      </c>
      <c r="G170">
        <v>336.75</v>
      </c>
      <c r="H170">
        <v>1135056</v>
      </c>
      <c r="J170">
        <v>2639</v>
      </c>
      <c r="K170">
        <v>2668.3999020000001</v>
      </c>
      <c r="L170">
        <v>2628</v>
      </c>
      <c r="M170">
        <v>2646.3500979999999</v>
      </c>
      <c r="N170">
        <v>2579.0708009999998</v>
      </c>
      <c r="O170">
        <v>311401</v>
      </c>
      <c r="Z170" s="5">
        <v>44868</v>
      </c>
      <c r="AA170" s="6">
        <f>INDEX($A:$P,MATCH(Z170,$A:$A,0),MATCH($AA$1,$A$1:$P$1,0))</f>
        <v>2646.3500979999999</v>
      </c>
      <c r="AB170" s="6">
        <f>INDEX($A:$P,MATCH(Z170,$A:$A,0),MATCH($AB$1,$A$1:$P$1,0))</f>
        <v>341</v>
      </c>
    </row>
    <row r="171" spans="1:28" x14ac:dyDescent="0.3">
      <c r="A171" s="1">
        <v>44869</v>
      </c>
      <c r="C171">
        <v>338</v>
      </c>
      <c r="D171">
        <v>350</v>
      </c>
      <c r="E171">
        <v>332.75</v>
      </c>
      <c r="F171">
        <v>346.85000600000001</v>
      </c>
      <c r="G171">
        <v>346.85000600000001</v>
      </c>
      <c r="H171">
        <v>1800682</v>
      </c>
      <c r="J171">
        <v>2621</v>
      </c>
      <c r="K171">
        <v>2637.1999510000001</v>
      </c>
      <c r="L171">
        <v>2573.4499510000001</v>
      </c>
      <c r="M171">
        <v>2588.8999020000001</v>
      </c>
      <c r="N171">
        <v>2523.0812989999999</v>
      </c>
      <c r="O171">
        <v>855256</v>
      </c>
      <c r="Z171" s="5">
        <v>44869</v>
      </c>
      <c r="AA171" s="6">
        <f>INDEX($A:$P,MATCH(Z171,$A:$A,0),MATCH($AA$1,$A$1:$P$1,0))</f>
        <v>2588.8999020000001</v>
      </c>
      <c r="AB171" s="6">
        <f>INDEX($A:$P,MATCH(Z171,$A:$A,0),MATCH($AB$1,$A$1:$P$1,0))</f>
        <v>338</v>
      </c>
    </row>
    <row r="172" spans="1:28" x14ac:dyDescent="0.3">
      <c r="A172" s="1">
        <v>44872</v>
      </c>
      <c r="C172">
        <v>348</v>
      </c>
      <c r="D172">
        <v>350</v>
      </c>
      <c r="E172">
        <v>342.75</v>
      </c>
      <c r="F172">
        <v>348.60000600000001</v>
      </c>
      <c r="G172">
        <v>348.60000600000001</v>
      </c>
      <c r="H172">
        <v>1380946</v>
      </c>
      <c r="J172">
        <v>2599</v>
      </c>
      <c r="K172">
        <v>2625</v>
      </c>
      <c r="L172">
        <v>2590</v>
      </c>
      <c r="M172">
        <v>2621.0500489999999</v>
      </c>
      <c r="N172">
        <v>2554.4140630000002</v>
      </c>
      <c r="O172">
        <v>314060</v>
      </c>
      <c r="Z172" s="5">
        <v>44872</v>
      </c>
      <c r="AA172" s="6">
        <f>INDEX($A:$P,MATCH(Z172,$A:$A,0),MATCH($AA$1,$A$1:$P$1,0))</f>
        <v>2621.0500489999999</v>
      </c>
      <c r="AB172" s="6">
        <f>INDEX($A:$P,MATCH(Z172,$A:$A,0),MATCH($AB$1,$A$1:$P$1,0))</f>
        <v>348</v>
      </c>
    </row>
    <row r="173" spans="1:28" x14ac:dyDescent="0.3">
      <c r="A173" s="1">
        <v>44874</v>
      </c>
      <c r="C173">
        <v>348.60000600000001</v>
      </c>
      <c r="D173">
        <v>366</v>
      </c>
      <c r="E173">
        <v>345</v>
      </c>
      <c r="F173">
        <v>365.79998799999998</v>
      </c>
      <c r="G173">
        <v>365.79998799999998</v>
      </c>
      <c r="H173">
        <v>3891628</v>
      </c>
      <c r="J173">
        <v>2630</v>
      </c>
      <c r="K173">
        <v>2656.5500489999999</v>
      </c>
      <c r="L173">
        <v>2622.0500489999999</v>
      </c>
      <c r="M173">
        <v>2651.5</v>
      </c>
      <c r="N173">
        <v>2584.0898440000001</v>
      </c>
      <c r="O173">
        <v>459177</v>
      </c>
      <c r="Z173" s="5">
        <v>44874</v>
      </c>
      <c r="AA173" s="6">
        <f>INDEX($A:$P,MATCH(Z173,$A:$A,0),MATCH($AA$1,$A$1:$P$1,0))</f>
        <v>2651.5</v>
      </c>
      <c r="AB173" s="6">
        <f>INDEX($A:$P,MATCH(Z173,$A:$A,0),MATCH($AB$1,$A$1:$P$1,0))</f>
        <v>348.60000600000001</v>
      </c>
    </row>
    <row r="174" spans="1:28" x14ac:dyDescent="0.3">
      <c r="A174" s="1">
        <v>44875</v>
      </c>
      <c r="C174">
        <v>365.79998799999998</v>
      </c>
      <c r="D174">
        <v>377</v>
      </c>
      <c r="E174">
        <v>358</v>
      </c>
      <c r="F174">
        <v>371.39999399999999</v>
      </c>
      <c r="G174">
        <v>371.39999399999999</v>
      </c>
      <c r="H174">
        <v>2938662</v>
      </c>
      <c r="J174">
        <v>2651.4499510000001</v>
      </c>
      <c r="K174">
        <v>2722</v>
      </c>
      <c r="L174">
        <v>2626.3500979999999</v>
      </c>
      <c r="M174">
        <v>2712.5</v>
      </c>
      <c r="N174">
        <v>2643.5390630000002</v>
      </c>
      <c r="O174">
        <v>706321</v>
      </c>
      <c r="Z174" s="5">
        <v>44875</v>
      </c>
      <c r="AA174" s="6">
        <f>INDEX($A:$P,MATCH(Z174,$A:$A,0),MATCH($AA$1,$A$1:$P$1,0))</f>
        <v>2712.5</v>
      </c>
      <c r="AB174" s="6">
        <f>INDEX($A:$P,MATCH(Z174,$A:$A,0),MATCH($AB$1,$A$1:$P$1,0))</f>
        <v>365.79998799999998</v>
      </c>
    </row>
    <row r="175" spans="1:28" x14ac:dyDescent="0.3">
      <c r="A175" s="1">
        <v>44876</v>
      </c>
      <c r="C175">
        <v>376</v>
      </c>
      <c r="D175">
        <v>378</v>
      </c>
      <c r="E175">
        <v>353</v>
      </c>
      <c r="F175">
        <v>360.20001200000002</v>
      </c>
      <c r="G175">
        <v>360.20001200000002</v>
      </c>
      <c r="H175">
        <v>3406069</v>
      </c>
      <c r="J175">
        <v>2726.1000979999999</v>
      </c>
      <c r="K175">
        <v>2731.9499510000001</v>
      </c>
      <c r="L175">
        <v>2660.0500489999999</v>
      </c>
      <c r="M175">
        <v>2668.5</v>
      </c>
      <c r="N175">
        <v>2600.6577149999998</v>
      </c>
      <c r="O175">
        <v>474615</v>
      </c>
      <c r="Z175" s="5">
        <v>44876</v>
      </c>
      <c r="AA175" s="6">
        <f>INDEX($A:$P,MATCH(Z175,$A:$A,0),MATCH($AA$1,$A$1:$P$1,0))</f>
        <v>2668.5</v>
      </c>
      <c r="AB175" s="6">
        <f>INDEX($A:$P,MATCH(Z175,$A:$A,0),MATCH($AB$1,$A$1:$P$1,0))</f>
        <v>376</v>
      </c>
    </row>
    <row r="176" spans="1:28" x14ac:dyDescent="0.3">
      <c r="A176" s="1">
        <v>44879</v>
      </c>
      <c r="C176">
        <v>348.14999399999999</v>
      </c>
      <c r="D176">
        <v>365.04998799999998</v>
      </c>
      <c r="E176">
        <v>342.20001200000002</v>
      </c>
      <c r="F176">
        <v>359.79998799999998</v>
      </c>
      <c r="G176">
        <v>359.79998799999998</v>
      </c>
      <c r="H176">
        <v>3238002</v>
      </c>
      <c r="J176">
        <v>2670.5</v>
      </c>
      <c r="K176">
        <v>2708</v>
      </c>
      <c r="L176">
        <v>2655.8999020000001</v>
      </c>
      <c r="M176">
        <v>2688.3999020000001</v>
      </c>
      <c r="N176">
        <v>2620.0515140000002</v>
      </c>
      <c r="O176">
        <v>352558</v>
      </c>
      <c r="Z176" s="5">
        <v>44879</v>
      </c>
      <c r="AA176" s="6">
        <f>INDEX($A:$P,MATCH(Z176,$A:$A,0),MATCH($AA$1,$A$1:$P$1,0))</f>
        <v>2688.3999020000001</v>
      </c>
      <c r="AB176" s="6">
        <f>INDEX($A:$P,MATCH(Z176,$A:$A,0),MATCH($AB$1,$A$1:$P$1,0))</f>
        <v>348.14999399999999</v>
      </c>
    </row>
    <row r="177" spans="1:28" x14ac:dyDescent="0.3">
      <c r="A177" s="1">
        <v>44880</v>
      </c>
      <c r="C177">
        <v>355.89999399999999</v>
      </c>
      <c r="D177">
        <v>358.5</v>
      </c>
      <c r="E177">
        <v>353</v>
      </c>
      <c r="F177">
        <v>357.04998799999998</v>
      </c>
      <c r="G177">
        <v>357.04998799999998</v>
      </c>
      <c r="H177">
        <v>1265382</v>
      </c>
      <c r="J177">
        <v>2694.5</v>
      </c>
      <c r="K177">
        <v>2754.0500489999999</v>
      </c>
      <c r="L177">
        <v>2692</v>
      </c>
      <c r="M177">
        <v>2730.75</v>
      </c>
      <c r="N177">
        <v>2661.3249510000001</v>
      </c>
      <c r="O177">
        <v>1012827</v>
      </c>
      <c r="Z177" s="5">
        <v>44880</v>
      </c>
      <c r="AA177" s="6">
        <f>INDEX($A:$P,MATCH(Z177,$A:$A,0),MATCH($AA$1,$A$1:$P$1,0))</f>
        <v>2730.75</v>
      </c>
      <c r="AB177" s="6">
        <f>INDEX($A:$P,MATCH(Z177,$A:$A,0),MATCH($AB$1,$A$1:$P$1,0))</f>
        <v>355.89999399999999</v>
      </c>
    </row>
    <row r="178" spans="1:28" x14ac:dyDescent="0.3">
      <c r="A178" s="1">
        <v>44881</v>
      </c>
      <c r="C178">
        <v>356.5</v>
      </c>
      <c r="D178">
        <v>356.85000600000001</v>
      </c>
      <c r="E178">
        <v>342.39999399999999</v>
      </c>
      <c r="F178">
        <v>345.14999399999999</v>
      </c>
      <c r="G178">
        <v>345.14999399999999</v>
      </c>
      <c r="H178">
        <v>1790067</v>
      </c>
      <c r="J178">
        <v>2730.5500489999999</v>
      </c>
      <c r="K178">
        <v>2755</v>
      </c>
      <c r="L178">
        <v>2709.0500489999999</v>
      </c>
      <c r="M178">
        <v>2739.4499510000001</v>
      </c>
      <c r="N178">
        <v>2669.803711</v>
      </c>
      <c r="O178">
        <v>647740</v>
      </c>
      <c r="Z178" s="5">
        <v>44881</v>
      </c>
      <c r="AA178" s="6">
        <f>INDEX($A:$P,MATCH(Z178,$A:$A,0),MATCH($AA$1,$A$1:$P$1,0))</f>
        <v>2739.4499510000001</v>
      </c>
      <c r="AB178" s="6">
        <f>INDEX($A:$P,MATCH(Z178,$A:$A,0),MATCH($AB$1,$A$1:$P$1,0))</f>
        <v>356.5</v>
      </c>
    </row>
    <row r="179" spans="1:28" x14ac:dyDescent="0.3">
      <c r="A179" s="1">
        <v>44882</v>
      </c>
      <c r="C179">
        <v>343</v>
      </c>
      <c r="D179">
        <v>343.95001200000002</v>
      </c>
      <c r="E179">
        <v>334.5</v>
      </c>
      <c r="F179">
        <v>336</v>
      </c>
      <c r="G179">
        <v>336</v>
      </c>
      <c r="H179">
        <v>1678802</v>
      </c>
      <c r="J179">
        <v>2741</v>
      </c>
      <c r="K179">
        <v>2765.1000979999999</v>
      </c>
      <c r="L179">
        <v>2727.1999510000001</v>
      </c>
      <c r="M179">
        <v>2744</v>
      </c>
      <c r="N179">
        <v>2674.2382809999999</v>
      </c>
      <c r="O179">
        <v>517393</v>
      </c>
      <c r="Z179" s="5">
        <v>44882</v>
      </c>
      <c r="AA179" s="6">
        <f>INDEX($A:$P,MATCH(Z179,$A:$A,0),MATCH($AA$1,$A$1:$P$1,0))</f>
        <v>2744</v>
      </c>
      <c r="AB179" s="6">
        <f>INDEX($A:$P,MATCH(Z179,$A:$A,0),MATCH($AB$1,$A$1:$P$1,0))</f>
        <v>343</v>
      </c>
    </row>
    <row r="180" spans="1:28" x14ac:dyDescent="0.3">
      <c r="A180" s="1">
        <v>44883</v>
      </c>
      <c r="C180">
        <v>339.95001200000002</v>
      </c>
      <c r="D180">
        <v>349.79998799999998</v>
      </c>
      <c r="E180">
        <v>329</v>
      </c>
      <c r="F180">
        <v>336.5</v>
      </c>
      <c r="G180">
        <v>336.5</v>
      </c>
      <c r="H180">
        <v>1345504</v>
      </c>
      <c r="J180">
        <v>2735</v>
      </c>
      <c r="K180">
        <v>2739.1000979999999</v>
      </c>
      <c r="L180">
        <v>2702.6000979999999</v>
      </c>
      <c r="M180">
        <v>2723.1499020000001</v>
      </c>
      <c r="N180">
        <v>2653.9182129999999</v>
      </c>
      <c r="O180">
        <v>469583</v>
      </c>
      <c r="Z180" s="5">
        <v>44883</v>
      </c>
      <c r="AA180" s="6">
        <f>INDEX($A:$P,MATCH(Z180,$A:$A,0),MATCH($AA$1,$A$1:$P$1,0))</f>
        <v>2723.1499020000001</v>
      </c>
      <c r="AB180" s="6">
        <f>INDEX($A:$P,MATCH(Z180,$A:$A,0),MATCH($AB$1,$A$1:$P$1,0))</f>
        <v>339.95001200000002</v>
      </c>
    </row>
    <row r="181" spans="1:28" x14ac:dyDescent="0.3">
      <c r="A181" s="1">
        <v>44886</v>
      </c>
      <c r="C181">
        <v>338</v>
      </c>
      <c r="D181">
        <v>338</v>
      </c>
      <c r="E181">
        <v>330</v>
      </c>
      <c r="F181">
        <v>331.20001200000002</v>
      </c>
      <c r="G181">
        <v>331.20001200000002</v>
      </c>
      <c r="H181">
        <v>854114</v>
      </c>
      <c r="J181">
        <v>2715</v>
      </c>
      <c r="K181">
        <v>2722.5</v>
      </c>
      <c r="L181">
        <v>2665</v>
      </c>
      <c r="M181">
        <v>2677.4499510000001</v>
      </c>
      <c r="N181">
        <v>2609.3801269999999</v>
      </c>
      <c r="O181">
        <v>467604</v>
      </c>
      <c r="Z181" s="5">
        <v>44886</v>
      </c>
      <c r="AA181" s="6">
        <f>INDEX($A:$P,MATCH(Z181,$A:$A,0),MATCH($AA$1,$A$1:$P$1,0))</f>
        <v>2677.4499510000001</v>
      </c>
      <c r="AB181" s="6">
        <f>INDEX($A:$P,MATCH(Z181,$A:$A,0),MATCH($AB$1,$A$1:$P$1,0))</f>
        <v>338</v>
      </c>
    </row>
    <row r="182" spans="1:28" x14ac:dyDescent="0.3">
      <c r="A182" s="1">
        <v>44887</v>
      </c>
      <c r="C182">
        <v>332</v>
      </c>
      <c r="D182">
        <v>335</v>
      </c>
      <c r="E182">
        <v>325</v>
      </c>
      <c r="F182">
        <v>328.5</v>
      </c>
      <c r="G182">
        <v>328.5</v>
      </c>
      <c r="H182">
        <v>1318384</v>
      </c>
      <c r="J182">
        <v>2669.8000489999999</v>
      </c>
      <c r="K182">
        <v>2690.8500979999999</v>
      </c>
      <c r="L182">
        <v>2667</v>
      </c>
      <c r="M182">
        <v>2685.4499510000001</v>
      </c>
      <c r="N182">
        <v>2617.1767580000001</v>
      </c>
      <c r="O182">
        <v>361527</v>
      </c>
      <c r="Z182" s="5">
        <v>44887</v>
      </c>
      <c r="AA182" s="6">
        <f>INDEX($A:$P,MATCH(Z182,$A:$A,0),MATCH($AA$1,$A$1:$P$1,0))</f>
        <v>2685.4499510000001</v>
      </c>
      <c r="AB182" s="6">
        <f>INDEX($A:$P,MATCH(Z182,$A:$A,0),MATCH($AB$1,$A$1:$P$1,0))</f>
        <v>332</v>
      </c>
    </row>
    <row r="183" spans="1:28" x14ac:dyDescent="0.3">
      <c r="A183" s="1">
        <v>44888</v>
      </c>
      <c r="C183">
        <v>329</v>
      </c>
      <c r="D183">
        <v>331.95001200000002</v>
      </c>
      <c r="E183">
        <v>323</v>
      </c>
      <c r="F183">
        <v>325.95001200000002</v>
      </c>
      <c r="G183">
        <v>325.95001200000002</v>
      </c>
      <c r="H183">
        <v>1106098</v>
      </c>
      <c r="J183">
        <v>2691</v>
      </c>
      <c r="K183">
        <v>2697.5</v>
      </c>
      <c r="L183">
        <v>2648.75</v>
      </c>
      <c r="M183">
        <v>2658.8500979999999</v>
      </c>
      <c r="N183">
        <v>2591.2531739999999</v>
      </c>
      <c r="O183">
        <v>264132</v>
      </c>
      <c r="Z183" s="5">
        <v>44888</v>
      </c>
      <c r="AA183" s="6">
        <f>INDEX($A:$P,MATCH(Z183,$A:$A,0),MATCH($AA$1,$A$1:$P$1,0))</f>
        <v>2658.8500979999999</v>
      </c>
      <c r="AB183" s="6">
        <f>INDEX($A:$P,MATCH(Z183,$A:$A,0),MATCH($AB$1,$A$1:$P$1,0))</f>
        <v>329</v>
      </c>
    </row>
    <row r="184" spans="1:28" x14ac:dyDescent="0.3">
      <c r="A184" s="1">
        <v>44889</v>
      </c>
      <c r="C184">
        <v>327.95001200000002</v>
      </c>
      <c r="D184">
        <v>329.89999399999999</v>
      </c>
      <c r="E184">
        <v>323</v>
      </c>
      <c r="F184">
        <v>324.95001200000002</v>
      </c>
      <c r="G184">
        <v>324.95001200000002</v>
      </c>
      <c r="H184">
        <v>896931</v>
      </c>
      <c r="J184">
        <v>2665</v>
      </c>
      <c r="K184">
        <v>2680.6499020000001</v>
      </c>
      <c r="L184">
        <v>2645.8000489999999</v>
      </c>
      <c r="M184">
        <v>2673.1000979999999</v>
      </c>
      <c r="N184">
        <v>2605.1408689999998</v>
      </c>
      <c r="O184">
        <v>498023</v>
      </c>
      <c r="Z184" s="5">
        <v>44889</v>
      </c>
      <c r="AA184" s="6">
        <f>INDEX($A:$P,MATCH(Z184,$A:$A,0),MATCH($AA$1,$A$1:$P$1,0))</f>
        <v>2673.1000979999999</v>
      </c>
      <c r="AB184" s="6">
        <f>INDEX($A:$P,MATCH(Z184,$A:$A,0),MATCH($AB$1,$A$1:$P$1,0))</f>
        <v>327.95001200000002</v>
      </c>
    </row>
    <row r="185" spans="1:28" x14ac:dyDescent="0.3">
      <c r="A185" s="1">
        <v>44890</v>
      </c>
      <c r="C185">
        <v>326</v>
      </c>
      <c r="D185">
        <v>327</v>
      </c>
      <c r="E185">
        <v>318.5</v>
      </c>
      <c r="F185">
        <v>323.95001200000002</v>
      </c>
      <c r="G185">
        <v>323.95001200000002</v>
      </c>
      <c r="H185">
        <v>1084355</v>
      </c>
      <c r="J185">
        <v>2673</v>
      </c>
      <c r="K185">
        <v>2716.75</v>
      </c>
      <c r="L185">
        <v>2663.5</v>
      </c>
      <c r="M185">
        <v>2708.1499020000001</v>
      </c>
      <c r="N185">
        <v>2639.2995609999998</v>
      </c>
      <c r="O185">
        <v>423634</v>
      </c>
      <c r="Z185" s="5">
        <v>44890</v>
      </c>
      <c r="AA185" s="6">
        <f>INDEX($A:$P,MATCH(Z185,$A:$A,0),MATCH($AA$1,$A$1:$P$1,0))</f>
        <v>2708.1499020000001</v>
      </c>
      <c r="AB185" s="6">
        <f>INDEX($A:$P,MATCH(Z185,$A:$A,0),MATCH($AB$1,$A$1:$P$1,0))</f>
        <v>326</v>
      </c>
    </row>
    <row r="186" spans="1:28" x14ac:dyDescent="0.3">
      <c r="A186" s="1">
        <v>44893</v>
      </c>
      <c r="C186">
        <v>327.10000600000001</v>
      </c>
      <c r="D186">
        <v>337</v>
      </c>
      <c r="E186">
        <v>326.89999399999999</v>
      </c>
      <c r="F186">
        <v>328.25</v>
      </c>
      <c r="G186">
        <v>328.25</v>
      </c>
      <c r="H186">
        <v>2544419</v>
      </c>
      <c r="J186">
        <v>2719.9499510000001</v>
      </c>
      <c r="K186">
        <v>2804</v>
      </c>
      <c r="L186">
        <v>2712.0500489999999</v>
      </c>
      <c r="M186">
        <v>2783.5</v>
      </c>
      <c r="N186">
        <v>2712.7338869999999</v>
      </c>
      <c r="O186">
        <v>1223958</v>
      </c>
      <c r="Z186" s="5">
        <v>44893</v>
      </c>
      <c r="AA186" s="6">
        <f>INDEX($A:$P,MATCH(Z186,$A:$A,0),MATCH($AA$1,$A$1:$P$1,0))</f>
        <v>2783.5</v>
      </c>
      <c r="AB186" s="6">
        <f>INDEX($A:$P,MATCH(Z186,$A:$A,0),MATCH($AB$1,$A$1:$P$1,0))</f>
        <v>327.10000600000001</v>
      </c>
    </row>
    <row r="187" spans="1:28" x14ac:dyDescent="0.3">
      <c r="A187" s="1">
        <v>44894</v>
      </c>
      <c r="C187">
        <v>330</v>
      </c>
      <c r="D187">
        <v>332.89999399999999</v>
      </c>
      <c r="E187">
        <v>323.5</v>
      </c>
      <c r="F187">
        <v>324.70001200000002</v>
      </c>
      <c r="G187">
        <v>324.70001200000002</v>
      </c>
      <c r="H187">
        <v>1783244</v>
      </c>
      <c r="J187">
        <v>2783.1499020000001</v>
      </c>
      <c r="K187">
        <v>2837.9499510000001</v>
      </c>
      <c r="L187">
        <v>2773.1000979999999</v>
      </c>
      <c r="M187">
        <v>2828.25</v>
      </c>
      <c r="N187">
        <v>2756.3461910000001</v>
      </c>
      <c r="O187">
        <v>731879</v>
      </c>
      <c r="Z187" s="5">
        <v>44894</v>
      </c>
      <c r="AA187" s="6">
        <f>INDEX($A:$P,MATCH(Z187,$A:$A,0),MATCH($AA$1,$A$1:$P$1,0))</f>
        <v>2828.25</v>
      </c>
      <c r="AB187" s="6">
        <f>INDEX($A:$P,MATCH(Z187,$A:$A,0),MATCH($AB$1,$A$1:$P$1,0))</f>
        <v>330</v>
      </c>
    </row>
    <row r="188" spans="1:28" x14ac:dyDescent="0.3">
      <c r="A188" s="1">
        <v>44895</v>
      </c>
      <c r="C188">
        <v>325</v>
      </c>
      <c r="D188">
        <v>335.89999399999999</v>
      </c>
      <c r="E188">
        <v>322.5</v>
      </c>
      <c r="F188">
        <v>332.75</v>
      </c>
      <c r="G188">
        <v>332.75</v>
      </c>
      <c r="H188">
        <v>3528568</v>
      </c>
      <c r="J188">
        <v>2831.9499510000001</v>
      </c>
      <c r="K188">
        <v>2861</v>
      </c>
      <c r="L188">
        <v>2820.1000979999999</v>
      </c>
      <c r="M188">
        <v>2851.8999020000001</v>
      </c>
      <c r="N188">
        <v>2779.3947750000002</v>
      </c>
      <c r="O188">
        <v>1379225</v>
      </c>
      <c r="Z188" s="5">
        <v>44895</v>
      </c>
      <c r="AA188" s="6">
        <f>INDEX($A:$P,MATCH(Z188,$A:$A,0),MATCH($AA$1,$A$1:$P$1,0))</f>
        <v>2851.8999020000001</v>
      </c>
      <c r="AB188" s="6">
        <f>INDEX($A:$P,MATCH(Z188,$A:$A,0),MATCH($AB$1,$A$1:$P$1,0))</f>
        <v>325</v>
      </c>
    </row>
    <row r="189" spans="1:28" x14ac:dyDescent="0.3">
      <c r="A189" s="1">
        <v>44896</v>
      </c>
      <c r="C189">
        <v>336.5</v>
      </c>
      <c r="D189">
        <v>339.89999399999999</v>
      </c>
      <c r="E189">
        <v>328.5</v>
      </c>
      <c r="F189">
        <v>330.39999399999999</v>
      </c>
      <c r="G189">
        <v>330.39999399999999</v>
      </c>
      <c r="H189">
        <v>3402035</v>
      </c>
      <c r="J189">
        <v>2855</v>
      </c>
      <c r="K189">
        <v>2884</v>
      </c>
      <c r="L189">
        <v>2826.6000979999999</v>
      </c>
      <c r="M189">
        <v>2871.8000489999999</v>
      </c>
      <c r="N189">
        <v>2798.7890630000002</v>
      </c>
      <c r="O189">
        <v>782249</v>
      </c>
      <c r="Z189" s="5">
        <v>44896</v>
      </c>
      <c r="AA189" s="6">
        <f>INDEX($A:$P,MATCH(Z189,$A:$A,0),MATCH($AA$1,$A$1:$P$1,0))</f>
        <v>2871.8000489999999</v>
      </c>
      <c r="AB189" s="6">
        <f>INDEX($A:$P,MATCH(Z189,$A:$A,0),MATCH($AB$1,$A$1:$P$1,0))</f>
        <v>336.5</v>
      </c>
    </row>
    <row r="190" spans="1:28" x14ac:dyDescent="0.3">
      <c r="A190" s="1">
        <v>44897</v>
      </c>
      <c r="C190">
        <v>329</v>
      </c>
      <c r="D190">
        <v>330.35000600000001</v>
      </c>
      <c r="E190">
        <v>324</v>
      </c>
      <c r="F190">
        <v>325.29998799999998</v>
      </c>
      <c r="G190">
        <v>325.29998799999998</v>
      </c>
      <c r="H190">
        <v>2332809</v>
      </c>
      <c r="J190">
        <v>2865</v>
      </c>
      <c r="K190">
        <v>2865</v>
      </c>
      <c r="L190">
        <v>2813</v>
      </c>
      <c r="M190">
        <v>2820.4499510000001</v>
      </c>
      <c r="N190">
        <v>2748.744385</v>
      </c>
      <c r="O190">
        <v>526214</v>
      </c>
      <c r="Z190" s="5">
        <v>44897</v>
      </c>
      <c r="AA190" s="6">
        <f>INDEX($A:$P,MATCH(Z190,$A:$A,0),MATCH($AA$1,$A$1:$P$1,0))</f>
        <v>2820.4499510000001</v>
      </c>
      <c r="AB190" s="6">
        <f>INDEX($A:$P,MATCH(Z190,$A:$A,0),MATCH($AB$1,$A$1:$P$1,0))</f>
        <v>329</v>
      </c>
    </row>
    <row r="191" spans="1:28" x14ac:dyDescent="0.3">
      <c r="A191" s="1">
        <v>44900</v>
      </c>
      <c r="C191">
        <v>326.95001200000002</v>
      </c>
      <c r="D191">
        <v>326.95001200000002</v>
      </c>
      <c r="E191">
        <v>322.04998799999998</v>
      </c>
      <c r="F191">
        <v>323.04998799999998</v>
      </c>
      <c r="G191">
        <v>323.04998799999998</v>
      </c>
      <c r="H191">
        <v>1801476</v>
      </c>
      <c r="J191">
        <v>2810</v>
      </c>
      <c r="K191">
        <v>2832.8999020000001</v>
      </c>
      <c r="L191">
        <v>2785.6499020000001</v>
      </c>
      <c r="M191">
        <v>2827.6499020000001</v>
      </c>
      <c r="N191">
        <v>2755.7614749999998</v>
      </c>
      <c r="O191">
        <v>397713</v>
      </c>
      <c r="Z191" s="5">
        <v>44900</v>
      </c>
      <c r="AA191" s="6">
        <f>INDEX($A:$P,MATCH(Z191,$A:$A,0),MATCH($AA$1,$A$1:$P$1,0))</f>
        <v>2827.6499020000001</v>
      </c>
      <c r="AB191" s="6">
        <f>INDEX($A:$P,MATCH(Z191,$A:$A,0),MATCH($AB$1,$A$1:$P$1,0))</f>
        <v>326.95001200000002</v>
      </c>
    </row>
    <row r="192" spans="1:28" x14ac:dyDescent="0.3">
      <c r="A192" s="1">
        <v>44901</v>
      </c>
      <c r="C192">
        <v>322.95001200000002</v>
      </c>
      <c r="D192">
        <v>331.70001200000002</v>
      </c>
      <c r="E192">
        <v>321.89999399999999</v>
      </c>
      <c r="F192">
        <v>324.79998799999998</v>
      </c>
      <c r="G192">
        <v>324.79998799999998</v>
      </c>
      <c r="H192">
        <v>2679257</v>
      </c>
      <c r="J192">
        <v>2822</v>
      </c>
      <c r="K192">
        <v>2825</v>
      </c>
      <c r="L192">
        <v>2778.0500489999999</v>
      </c>
      <c r="M192">
        <v>2798.8000489999999</v>
      </c>
      <c r="N192">
        <v>2727.6450199999999</v>
      </c>
      <c r="O192">
        <v>339117</v>
      </c>
      <c r="Z192" s="5">
        <v>44901</v>
      </c>
      <c r="AA192" s="6">
        <f>INDEX($A:$P,MATCH(Z192,$A:$A,0),MATCH($AA$1,$A$1:$P$1,0))</f>
        <v>2798.8000489999999</v>
      </c>
      <c r="AB192" s="6">
        <f>INDEX($A:$P,MATCH(Z192,$A:$A,0),MATCH($AB$1,$A$1:$P$1,0))</f>
        <v>322.95001200000002</v>
      </c>
    </row>
    <row r="193" spans="1:28" x14ac:dyDescent="0.3">
      <c r="A193" s="1">
        <v>44902</v>
      </c>
      <c r="C193">
        <v>325.89999399999999</v>
      </c>
      <c r="D193">
        <v>328.39999399999999</v>
      </c>
      <c r="E193">
        <v>323.25</v>
      </c>
      <c r="F193">
        <v>324.45001200000002</v>
      </c>
      <c r="G193">
        <v>324.45001200000002</v>
      </c>
      <c r="H193">
        <v>1430486</v>
      </c>
      <c r="J193">
        <v>2793.0500489999999</v>
      </c>
      <c r="K193">
        <v>2802</v>
      </c>
      <c r="L193">
        <v>2751</v>
      </c>
      <c r="M193">
        <v>2759.5500489999999</v>
      </c>
      <c r="N193">
        <v>2689.3928219999998</v>
      </c>
      <c r="O193">
        <v>340800</v>
      </c>
      <c r="Z193" s="5">
        <v>44902</v>
      </c>
      <c r="AA193" s="6">
        <f>INDEX($A:$P,MATCH(Z193,$A:$A,0),MATCH($AA$1,$A$1:$P$1,0))</f>
        <v>2759.5500489999999</v>
      </c>
      <c r="AB193" s="6">
        <f>INDEX($A:$P,MATCH(Z193,$A:$A,0),MATCH($AB$1,$A$1:$P$1,0))</f>
        <v>325.89999399999999</v>
      </c>
    </row>
    <row r="194" spans="1:28" x14ac:dyDescent="0.3">
      <c r="A194" s="1">
        <v>44903</v>
      </c>
      <c r="C194">
        <v>326.10000600000001</v>
      </c>
      <c r="D194">
        <v>329</v>
      </c>
      <c r="E194">
        <v>323.04998799999998</v>
      </c>
      <c r="F194">
        <v>323.75</v>
      </c>
      <c r="G194">
        <v>323.75</v>
      </c>
      <c r="H194">
        <v>1553350</v>
      </c>
      <c r="J194">
        <v>2750</v>
      </c>
      <c r="K194">
        <v>2778.8000489999999</v>
      </c>
      <c r="L194">
        <v>2745.25</v>
      </c>
      <c r="M194">
        <v>2758.1999510000001</v>
      </c>
      <c r="N194">
        <v>2688.0771479999999</v>
      </c>
      <c r="O194">
        <v>190468</v>
      </c>
      <c r="Z194" s="5">
        <v>44903</v>
      </c>
      <c r="AA194" s="6">
        <f>INDEX($A:$P,MATCH(Z194,$A:$A,0),MATCH($AA$1,$A$1:$P$1,0))</f>
        <v>2758.1999510000001</v>
      </c>
      <c r="AB194" s="6">
        <f>INDEX($A:$P,MATCH(Z194,$A:$A,0),MATCH($AB$1,$A$1:$P$1,0))</f>
        <v>326.10000600000001</v>
      </c>
    </row>
    <row r="195" spans="1:28" x14ac:dyDescent="0.3">
      <c r="A195" s="1">
        <v>44904</v>
      </c>
      <c r="C195">
        <v>325.39999399999999</v>
      </c>
      <c r="D195">
        <v>325.95001200000002</v>
      </c>
      <c r="E195">
        <v>311</v>
      </c>
      <c r="F195">
        <v>316.04998799999998</v>
      </c>
      <c r="G195">
        <v>316.04998799999998</v>
      </c>
      <c r="H195">
        <v>2958588</v>
      </c>
      <c r="J195">
        <v>2762</v>
      </c>
      <c r="K195">
        <v>2782.25</v>
      </c>
      <c r="L195">
        <v>2731.1499020000001</v>
      </c>
      <c r="M195">
        <v>2751.5</v>
      </c>
      <c r="N195">
        <v>2681.547607</v>
      </c>
      <c r="O195">
        <v>254995</v>
      </c>
      <c r="Z195" s="5">
        <v>44904</v>
      </c>
      <c r="AA195" s="6">
        <f>INDEX($A:$P,MATCH(Z195,$A:$A,0),MATCH($AA$1,$A$1:$P$1,0))</f>
        <v>2751.5</v>
      </c>
      <c r="AB195" s="6">
        <f>INDEX($A:$P,MATCH(Z195,$A:$A,0),MATCH($AB$1,$A$1:$P$1,0))</f>
        <v>325.39999399999999</v>
      </c>
    </row>
    <row r="196" spans="1:28" x14ac:dyDescent="0.3">
      <c r="A196" s="1">
        <v>44907</v>
      </c>
      <c r="C196">
        <v>315</v>
      </c>
      <c r="D196">
        <v>317</v>
      </c>
      <c r="E196">
        <v>307.04998799999998</v>
      </c>
      <c r="F196">
        <v>310.20001200000002</v>
      </c>
      <c r="G196">
        <v>310.20001200000002</v>
      </c>
      <c r="H196">
        <v>2657723</v>
      </c>
      <c r="J196">
        <v>2751</v>
      </c>
      <c r="K196">
        <v>2774.8999020000001</v>
      </c>
      <c r="L196">
        <v>2736.0500489999999</v>
      </c>
      <c r="M196">
        <v>2771.4499510000001</v>
      </c>
      <c r="N196">
        <v>2700.9902339999999</v>
      </c>
      <c r="O196">
        <v>166357</v>
      </c>
      <c r="Z196" s="5">
        <v>44907</v>
      </c>
      <c r="AA196" s="6">
        <f>INDEX($A:$P,MATCH(Z196,$A:$A,0),MATCH($AA$1,$A$1:$P$1,0))</f>
        <v>2771.4499510000001</v>
      </c>
      <c r="AB196" s="6">
        <f>INDEX($A:$P,MATCH(Z196,$A:$A,0),MATCH($AB$1,$A$1:$P$1,0))</f>
        <v>315</v>
      </c>
    </row>
    <row r="197" spans="1:28" x14ac:dyDescent="0.3">
      <c r="A197" s="1">
        <v>44908</v>
      </c>
      <c r="C197">
        <v>310.5</v>
      </c>
      <c r="D197">
        <v>325.70001200000002</v>
      </c>
      <c r="E197">
        <v>310.5</v>
      </c>
      <c r="F197">
        <v>323</v>
      </c>
      <c r="G197">
        <v>323</v>
      </c>
      <c r="H197">
        <v>6144873</v>
      </c>
      <c r="J197">
        <v>2783.8999020000001</v>
      </c>
      <c r="K197">
        <v>2815.0500489999999</v>
      </c>
      <c r="L197">
        <v>2747.8999020000001</v>
      </c>
      <c r="M197">
        <v>2759.4499510000001</v>
      </c>
      <c r="N197">
        <v>2689.2954100000002</v>
      </c>
      <c r="O197">
        <v>440848</v>
      </c>
      <c r="Z197" s="5">
        <v>44908</v>
      </c>
      <c r="AA197" s="6">
        <f>INDEX($A:$P,MATCH(Z197,$A:$A,0),MATCH($AA$1,$A$1:$P$1,0))</f>
        <v>2759.4499510000001</v>
      </c>
      <c r="AB197" s="6">
        <f>INDEX($A:$P,MATCH(Z197,$A:$A,0),MATCH($AB$1,$A$1:$P$1,0))</f>
        <v>310.5</v>
      </c>
    </row>
    <row r="198" spans="1:28" x14ac:dyDescent="0.3">
      <c r="A198" s="1">
        <v>44909</v>
      </c>
      <c r="C198">
        <v>322.79998799999998</v>
      </c>
      <c r="D198">
        <v>326.89999399999999</v>
      </c>
      <c r="E198">
        <v>317.35000600000001</v>
      </c>
      <c r="F198">
        <v>319.35000600000001</v>
      </c>
      <c r="G198">
        <v>319.35000600000001</v>
      </c>
      <c r="H198">
        <v>3340492</v>
      </c>
      <c r="J198">
        <v>2762.4499510000001</v>
      </c>
      <c r="K198">
        <v>2782.8999020000001</v>
      </c>
      <c r="L198">
        <v>2727.6000979999999</v>
      </c>
      <c r="M198">
        <v>2747.3500979999999</v>
      </c>
      <c r="N198">
        <v>2677.5031739999999</v>
      </c>
      <c r="O198">
        <v>438317</v>
      </c>
      <c r="Z198" s="5">
        <v>44909</v>
      </c>
      <c r="AA198" s="6">
        <f>INDEX($A:$P,MATCH(Z198,$A:$A,0),MATCH($AA$1,$A$1:$P$1,0))</f>
        <v>2747.3500979999999</v>
      </c>
      <c r="AB198" s="6">
        <f>INDEX($A:$P,MATCH(Z198,$A:$A,0),MATCH($AB$1,$A$1:$P$1,0))</f>
        <v>322.79998799999998</v>
      </c>
    </row>
    <row r="199" spans="1:28" x14ac:dyDescent="0.3">
      <c r="A199" s="1">
        <v>44910</v>
      </c>
      <c r="C199">
        <v>320.64999399999999</v>
      </c>
      <c r="D199">
        <v>322.54998799999998</v>
      </c>
      <c r="E199">
        <v>314.5</v>
      </c>
      <c r="F199">
        <v>315.45001200000002</v>
      </c>
      <c r="G199">
        <v>315.45001200000002</v>
      </c>
      <c r="H199">
        <v>1720989</v>
      </c>
      <c r="J199">
        <v>2738.5</v>
      </c>
      <c r="K199">
        <v>2783.8000489999999</v>
      </c>
      <c r="L199">
        <v>2734.6000979999999</v>
      </c>
      <c r="M199">
        <v>2770.8500979999999</v>
      </c>
      <c r="N199">
        <v>2700.4057619999999</v>
      </c>
      <c r="O199">
        <v>299314</v>
      </c>
      <c r="Z199" s="5">
        <v>44910</v>
      </c>
      <c r="AA199" s="6">
        <f>INDEX($A:$P,MATCH(Z199,$A:$A,0),MATCH($AA$1,$A$1:$P$1,0))</f>
        <v>2770.8500979999999</v>
      </c>
      <c r="AB199" s="6">
        <f>INDEX($A:$P,MATCH(Z199,$A:$A,0),MATCH($AB$1,$A$1:$P$1,0))</f>
        <v>320.64999399999999</v>
      </c>
    </row>
    <row r="200" spans="1:28" x14ac:dyDescent="0.3">
      <c r="A200" s="1">
        <v>44911</v>
      </c>
      <c r="C200">
        <v>315</v>
      </c>
      <c r="D200">
        <v>317.70001200000002</v>
      </c>
      <c r="E200">
        <v>306</v>
      </c>
      <c r="F200">
        <v>307.89999399999999</v>
      </c>
      <c r="G200">
        <v>307.89999399999999</v>
      </c>
      <c r="H200">
        <v>4178496</v>
      </c>
      <c r="J200">
        <v>2745.1000979999999</v>
      </c>
      <c r="K200">
        <v>2767.6499020000001</v>
      </c>
      <c r="L200">
        <v>2717.1499020000001</v>
      </c>
      <c r="M200">
        <v>2724.8500979999999</v>
      </c>
      <c r="N200">
        <v>2655.5751949999999</v>
      </c>
      <c r="O200">
        <v>271086</v>
      </c>
      <c r="Z200" s="5">
        <v>44911</v>
      </c>
      <c r="AA200" s="6">
        <f>INDEX($A:$P,MATCH(Z200,$A:$A,0),MATCH($AA$1,$A$1:$P$1,0))</f>
        <v>2724.8500979999999</v>
      </c>
      <c r="AB200" s="6">
        <f>INDEX($A:$P,MATCH(Z200,$A:$A,0),MATCH($AB$1,$A$1:$P$1,0))</f>
        <v>315</v>
      </c>
    </row>
    <row r="201" spans="1:28" x14ac:dyDescent="0.3">
      <c r="A201" s="1">
        <v>44914</v>
      </c>
      <c r="C201">
        <v>309</v>
      </c>
      <c r="D201">
        <v>309.89999399999999</v>
      </c>
      <c r="E201">
        <v>301</v>
      </c>
      <c r="F201">
        <v>305.79998799999998</v>
      </c>
      <c r="G201">
        <v>305.79998799999998</v>
      </c>
      <c r="H201">
        <v>3057699</v>
      </c>
      <c r="J201">
        <v>2724.8500979999999</v>
      </c>
      <c r="K201">
        <v>2785</v>
      </c>
      <c r="L201">
        <v>2709.0500489999999</v>
      </c>
      <c r="M201">
        <v>2780.6000979999999</v>
      </c>
      <c r="N201">
        <v>2709.9077149999998</v>
      </c>
      <c r="O201">
        <v>276490</v>
      </c>
      <c r="Z201" s="5">
        <v>44914</v>
      </c>
      <c r="AA201" s="6">
        <f>INDEX($A:$P,MATCH(Z201,$A:$A,0),MATCH($AA$1,$A$1:$P$1,0))</f>
        <v>2780.6000979999999</v>
      </c>
      <c r="AB201" s="6">
        <f>INDEX($A:$P,MATCH(Z201,$A:$A,0),MATCH($AB$1,$A$1:$P$1,0))</f>
        <v>309</v>
      </c>
    </row>
    <row r="202" spans="1:28" x14ac:dyDescent="0.3">
      <c r="A202" s="1">
        <v>44915</v>
      </c>
      <c r="C202">
        <v>306</v>
      </c>
      <c r="D202">
        <v>308.95001200000002</v>
      </c>
      <c r="E202">
        <v>301.20001200000002</v>
      </c>
      <c r="F202">
        <v>305.75</v>
      </c>
      <c r="G202">
        <v>305.75</v>
      </c>
      <c r="H202">
        <v>2087377</v>
      </c>
      <c r="J202">
        <v>2770</v>
      </c>
      <c r="K202">
        <v>2790.6000979999999</v>
      </c>
      <c r="L202">
        <v>2743.3999020000001</v>
      </c>
      <c r="M202">
        <v>2772.5500489999999</v>
      </c>
      <c r="N202">
        <v>2702.0625</v>
      </c>
      <c r="O202">
        <v>234062</v>
      </c>
      <c r="Z202" s="5">
        <v>44915</v>
      </c>
      <c r="AA202" s="6">
        <f>INDEX($A:$P,MATCH(Z202,$A:$A,0),MATCH($AA$1,$A$1:$P$1,0))</f>
        <v>2772.5500489999999</v>
      </c>
      <c r="AB202" s="6">
        <f>INDEX($A:$P,MATCH(Z202,$A:$A,0),MATCH($AB$1,$A$1:$P$1,0))</f>
        <v>306</v>
      </c>
    </row>
    <row r="203" spans="1:28" x14ac:dyDescent="0.3">
      <c r="A203" s="1">
        <v>44916</v>
      </c>
      <c r="C203">
        <v>308</v>
      </c>
      <c r="D203">
        <v>308.89999399999999</v>
      </c>
      <c r="E203">
        <v>290.5</v>
      </c>
      <c r="F203">
        <v>290.5</v>
      </c>
      <c r="G203">
        <v>290.5</v>
      </c>
      <c r="H203">
        <v>4144435</v>
      </c>
      <c r="J203">
        <v>2772.5500489999999</v>
      </c>
      <c r="K203">
        <v>2798.0500489999999</v>
      </c>
      <c r="L203">
        <v>2737</v>
      </c>
      <c r="M203">
        <v>2757.4499510000001</v>
      </c>
      <c r="N203">
        <v>2687.3461910000001</v>
      </c>
      <c r="O203">
        <v>328455</v>
      </c>
      <c r="Z203" s="5">
        <v>44916</v>
      </c>
      <c r="AA203" s="6">
        <f>INDEX($A:$P,MATCH(Z203,$A:$A,0),MATCH($AA$1,$A$1:$P$1,0))</f>
        <v>2757.4499510000001</v>
      </c>
      <c r="AB203" s="6">
        <f>INDEX($A:$P,MATCH(Z203,$A:$A,0),MATCH($AB$1,$A$1:$P$1,0))</f>
        <v>308</v>
      </c>
    </row>
    <row r="204" spans="1:28" x14ac:dyDescent="0.3">
      <c r="A204" s="1">
        <v>44917</v>
      </c>
      <c r="C204">
        <v>290</v>
      </c>
      <c r="D204">
        <v>290.5</v>
      </c>
      <c r="E204">
        <v>276</v>
      </c>
      <c r="F204">
        <v>276</v>
      </c>
      <c r="G204">
        <v>276</v>
      </c>
      <c r="H204">
        <v>5151717</v>
      </c>
      <c r="J204">
        <v>2757.1999510000001</v>
      </c>
      <c r="K204">
        <v>2796.5500489999999</v>
      </c>
      <c r="L204">
        <v>2717.3000489999999</v>
      </c>
      <c r="M204">
        <v>2727.6999510000001</v>
      </c>
      <c r="N204">
        <v>2658.352539</v>
      </c>
      <c r="O204">
        <v>483991</v>
      </c>
      <c r="Z204" s="5">
        <v>44917</v>
      </c>
      <c r="AA204" s="6">
        <f>INDEX($A:$P,MATCH(Z204,$A:$A,0),MATCH($AA$1,$A$1:$P$1,0))</f>
        <v>2727.6999510000001</v>
      </c>
      <c r="AB204" s="6">
        <f>INDEX($A:$P,MATCH(Z204,$A:$A,0),MATCH($AB$1,$A$1:$P$1,0))</f>
        <v>290</v>
      </c>
    </row>
    <row r="205" spans="1:28" x14ac:dyDescent="0.3">
      <c r="A205" s="1">
        <v>44918</v>
      </c>
      <c r="C205">
        <v>267.14999399999999</v>
      </c>
      <c r="D205">
        <v>267.70001200000002</v>
      </c>
      <c r="E205">
        <v>262.20001200000002</v>
      </c>
      <c r="F205">
        <v>262.20001200000002</v>
      </c>
      <c r="G205">
        <v>262.20001200000002</v>
      </c>
      <c r="H205">
        <v>3250142</v>
      </c>
      <c r="J205">
        <v>2715</v>
      </c>
      <c r="K205">
        <v>2720</v>
      </c>
      <c r="L205">
        <v>2628.6499020000001</v>
      </c>
      <c r="M205">
        <v>2636.8500979999999</v>
      </c>
      <c r="N205">
        <v>2569.8125</v>
      </c>
      <c r="O205">
        <v>328855</v>
      </c>
      <c r="Z205" s="5">
        <v>44918</v>
      </c>
      <c r="AA205" s="6">
        <f>INDEX($A:$P,MATCH(Z205,$A:$A,0),MATCH($AA$1,$A$1:$P$1,0))</f>
        <v>2636.8500979999999</v>
      </c>
      <c r="AB205" s="6">
        <f>INDEX($A:$P,MATCH(Z205,$A:$A,0),MATCH($AB$1,$A$1:$P$1,0))</f>
        <v>267.14999399999999</v>
      </c>
    </row>
    <row r="206" spans="1:28" x14ac:dyDescent="0.3">
      <c r="A206" s="1">
        <v>44921</v>
      </c>
      <c r="C206">
        <v>249.10000600000001</v>
      </c>
      <c r="D206">
        <v>275.29998799999998</v>
      </c>
      <c r="E206">
        <v>249.10000600000001</v>
      </c>
      <c r="F206">
        <v>275.29998799999998</v>
      </c>
      <c r="G206">
        <v>275.29998799999998</v>
      </c>
      <c r="H206">
        <v>2619914</v>
      </c>
      <c r="J206">
        <v>2645</v>
      </c>
      <c r="K206">
        <v>2698</v>
      </c>
      <c r="L206">
        <v>2611.6000979999999</v>
      </c>
      <c r="M206">
        <v>2686.3000489999999</v>
      </c>
      <c r="N206">
        <v>2618.0051269999999</v>
      </c>
      <c r="O206">
        <v>175951</v>
      </c>
      <c r="Z206" s="5">
        <v>44921</v>
      </c>
      <c r="AA206" s="6">
        <f>INDEX($A:$P,MATCH(Z206,$A:$A,0),MATCH($AA$1,$A$1:$P$1,0))</f>
        <v>2686.3000489999999</v>
      </c>
      <c r="AB206" s="6">
        <f>INDEX($A:$P,MATCH(Z206,$A:$A,0),MATCH($AB$1,$A$1:$P$1,0))</f>
        <v>249.10000600000001</v>
      </c>
    </row>
    <row r="207" spans="1:28" x14ac:dyDescent="0.3">
      <c r="A207" s="1">
        <v>44922</v>
      </c>
      <c r="C207">
        <v>274.5</v>
      </c>
      <c r="D207">
        <v>289.04998799999998</v>
      </c>
      <c r="E207">
        <v>271.10000600000001</v>
      </c>
      <c r="F207">
        <v>289.04998799999998</v>
      </c>
      <c r="G207">
        <v>289.04998799999998</v>
      </c>
      <c r="H207">
        <v>2420865</v>
      </c>
      <c r="J207">
        <v>2694.9499510000001</v>
      </c>
      <c r="K207">
        <v>2718.25</v>
      </c>
      <c r="L207">
        <v>2685.5</v>
      </c>
      <c r="M207">
        <v>2702.3500979999999</v>
      </c>
      <c r="N207">
        <v>2633.6472170000002</v>
      </c>
      <c r="O207">
        <v>181947</v>
      </c>
      <c r="Z207" s="5">
        <v>44922</v>
      </c>
      <c r="AA207" s="6">
        <f>INDEX($A:$P,MATCH(Z207,$A:$A,0),MATCH($AA$1,$A$1:$P$1,0))</f>
        <v>2702.3500979999999</v>
      </c>
      <c r="AB207" s="6">
        <f>INDEX($A:$P,MATCH(Z207,$A:$A,0),MATCH($AB$1,$A$1:$P$1,0))</f>
        <v>274.5</v>
      </c>
    </row>
    <row r="208" spans="1:28" x14ac:dyDescent="0.3">
      <c r="A208" s="1">
        <v>44923</v>
      </c>
      <c r="C208">
        <v>292.75</v>
      </c>
      <c r="D208">
        <v>303.5</v>
      </c>
      <c r="E208">
        <v>289.60000600000001</v>
      </c>
      <c r="F208">
        <v>303.5</v>
      </c>
      <c r="G208">
        <v>303.5</v>
      </c>
      <c r="H208">
        <v>1806215</v>
      </c>
      <c r="J208">
        <v>2687.6000979999999</v>
      </c>
      <c r="K208">
        <v>2726.75</v>
      </c>
      <c r="L208">
        <v>2685</v>
      </c>
      <c r="M208">
        <v>2696.6000979999999</v>
      </c>
      <c r="N208">
        <v>2628.0432129999999</v>
      </c>
      <c r="O208">
        <v>225857</v>
      </c>
      <c r="Z208" s="5">
        <v>44923</v>
      </c>
      <c r="AA208" s="6">
        <f>INDEX($A:$P,MATCH(Z208,$A:$A,0),MATCH($AA$1,$A$1:$P$1,0))</f>
        <v>2696.6000979999999</v>
      </c>
      <c r="AB208" s="6">
        <f>INDEX($A:$P,MATCH(Z208,$A:$A,0),MATCH($AB$1,$A$1:$P$1,0))</f>
        <v>292.75</v>
      </c>
    </row>
    <row r="209" spans="1:28" x14ac:dyDescent="0.3">
      <c r="A209" s="1">
        <v>44924</v>
      </c>
      <c r="C209">
        <v>305</v>
      </c>
      <c r="D209">
        <v>308.39999399999999</v>
      </c>
      <c r="E209">
        <v>291.29998799999998</v>
      </c>
      <c r="F209">
        <v>304.5</v>
      </c>
      <c r="G209">
        <v>304.5</v>
      </c>
      <c r="H209">
        <v>2360636</v>
      </c>
      <c r="J209">
        <v>2691.6000979999999</v>
      </c>
      <c r="K209">
        <v>2745</v>
      </c>
      <c r="L209">
        <v>2671.4499510000001</v>
      </c>
      <c r="M209">
        <v>2722.1999510000001</v>
      </c>
      <c r="N209">
        <v>2652.992432</v>
      </c>
      <c r="O209">
        <v>243791</v>
      </c>
      <c r="Z209" s="5">
        <v>44924</v>
      </c>
      <c r="AA209" s="6">
        <f>INDEX($A:$P,MATCH(Z209,$A:$A,0),MATCH($AA$1,$A$1:$P$1,0))</f>
        <v>2722.1999510000001</v>
      </c>
      <c r="AB209" s="6">
        <f>INDEX($A:$P,MATCH(Z209,$A:$A,0),MATCH($AB$1,$A$1:$P$1,0))</f>
        <v>305</v>
      </c>
    </row>
    <row r="210" spans="1:28" x14ac:dyDescent="0.3">
      <c r="A210" s="1">
        <v>44925</v>
      </c>
      <c r="C210">
        <v>305.89999399999999</v>
      </c>
      <c r="D210">
        <v>308</v>
      </c>
      <c r="E210">
        <v>298</v>
      </c>
      <c r="F210">
        <v>299.54998799999998</v>
      </c>
      <c r="G210">
        <v>299.54998799999998</v>
      </c>
      <c r="H210">
        <v>1391817</v>
      </c>
      <c r="J210">
        <v>2735.8500979999999</v>
      </c>
      <c r="K210">
        <v>2764.8500979999999</v>
      </c>
      <c r="L210">
        <v>2722.8999020000001</v>
      </c>
      <c r="M210">
        <v>2738.8500979999999</v>
      </c>
      <c r="N210">
        <v>2669.2192380000001</v>
      </c>
      <c r="O210">
        <v>211762</v>
      </c>
      <c r="Z210" s="5">
        <v>44925</v>
      </c>
      <c r="AA210" s="6">
        <f>INDEX($A:$P,MATCH(Z210,$A:$A,0),MATCH($AA$1,$A$1:$P$1,0))</f>
        <v>2738.8500979999999</v>
      </c>
      <c r="AB210" s="6">
        <f>INDEX($A:$P,MATCH(Z210,$A:$A,0),MATCH($AB$1,$A$1:$P$1,0))</f>
        <v>305.89999399999999</v>
      </c>
    </row>
    <row r="211" spans="1:28" x14ac:dyDescent="0.3">
      <c r="A211" s="1">
        <v>44928</v>
      </c>
      <c r="C211">
        <v>303</v>
      </c>
      <c r="D211">
        <v>304.89999399999999</v>
      </c>
      <c r="E211">
        <v>293.29998799999998</v>
      </c>
      <c r="F211">
        <v>298.14999399999999</v>
      </c>
      <c r="G211">
        <v>298.14999399999999</v>
      </c>
      <c r="H211">
        <v>1737675</v>
      </c>
      <c r="J211">
        <v>2738.8500979999999</v>
      </c>
      <c r="K211">
        <v>2749.6000979999999</v>
      </c>
      <c r="L211">
        <v>2710</v>
      </c>
      <c r="M211">
        <v>2715.8999020000001</v>
      </c>
      <c r="N211">
        <v>2646.852539</v>
      </c>
      <c r="O211">
        <v>131296</v>
      </c>
      <c r="Z211" s="5">
        <v>44928</v>
      </c>
      <c r="AA211" s="6">
        <f>INDEX($A:$P,MATCH(Z211,$A:$A,0),MATCH($AA$1,$A$1:$P$1,0))</f>
        <v>2715.8999020000001</v>
      </c>
      <c r="AB211" s="6">
        <f>INDEX($A:$P,MATCH(Z211,$A:$A,0),MATCH($AB$1,$A$1:$P$1,0))</f>
        <v>303</v>
      </c>
    </row>
    <row r="212" spans="1:28" x14ac:dyDescent="0.3">
      <c r="A212" s="1">
        <v>44929</v>
      </c>
      <c r="C212">
        <v>298.14999399999999</v>
      </c>
      <c r="D212">
        <v>301</v>
      </c>
      <c r="E212">
        <v>293.5</v>
      </c>
      <c r="F212">
        <v>294.75</v>
      </c>
      <c r="G212">
        <v>294.75</v>
      </c>
      <c r="H212">
        <v>1411312</v>
      </c>
      <c r="J212">
        <v>2702.1999510000001</v>
      </c>
      <c r="K212">
        <v>2739.8999020000001</v>
      </c>
      <c r="L212">
        <v>2702</v>
      </c>
      <c r="M212">
        <v>2720.3999020000001</v>
      </c>
      <c r="N212">
        <v>2651.2380370000001</v>
      </c>
      <c r="O212">
        <v>136701</v>
      </c>
      <c r="Z212" s="5">
        <v>44929</v>
      </c>
      <c r="AA212" s="6">
        <f>INDEX($A:$P,MATCH(Z212,$A:$A,0),MATCH($AA$1,$A$1:$P$1,0))</f>
        <v>2720.3999020000001</v>
      </c>
      <c r="AB212" s="6">
        <f>INDEX($A:$P,MATCH(Z212,$A:$A,0),MATCH($AB$1,$A$1:$P$1,0))</f>
        <v>298.14999399999999</v>
      </c>
    </row>
    <row r="213" spans="1:28" x14ac:dyDescent="0.3">
      <c r="A213" s="1">
        <v>44930</v>
      </c>
      <c r="C213">
        <v>294.75</v>
      </c>
      <c r="D213">
        <v>296</v>
      </c>
      <c r="E213">
        <v>284.54998799999998</v>
      </c>
      <c r="F213">
        <v>286.60000600000001</v>
      </c>
      <c r="G213">
        <v>286.60000600000001</v>
      </c>
      <c r="H213">
        <v>1643562</v>
      </c>
      <c r="J213">
        <v>2707</v>
      </c>
      <c r="K213">
        <v>2728</v>
      </c>
      <c r="L213">
        <v>2697.75</v>
      </c>
      <c r="M213">
        <v>2709.3000489999999</v>
      </c>
      <c r="N213">
        <v>2640.4204100000002</v>
      </c>
      <c r="O213">
        <v>178937</v>
      </c>
      <c r="Z213" s="5">
        <v>44930</v>
      </c>
      <c r="AA213" s="6">
        <f>INDEX($A:$P,MATCH(Z213,$A:$A,0),MATCH($AA$1,$A$1:$P$1,0))</f>
        <v>2709.3000489999999</v>
      </c>
      <c r="AB213" s="6">
        <f>INDEX($A:$P,MATCH(Z213,$A:$A,0),MATCH($AB$1,$A$1:$P$1,0))</f>
        <v>294.75</v>
      </c>
    </row>
    <row r="214" spans="1:28" x14ac:dyDescent="0.3">
      <c r="A214" s="1">
        <v>44931</v>
      </c>
      <c r="C214">
        <v>287.95001200000002</v>
      </c>
      <c r="D214">
        <v>293.20001200000002</v>
      </c>
      <c r="E214">
        <v>277</v>
      </c>
      <c r="F214">
        <v>288.75</v>
      </c>
      <c r="G214">
        <v>288.75</v>
      </c>
      <c r="H214">
        <v>1868579</v>
      </c>
      <c r="J214">
        <v>2707.8999020000001</v>
      </c>
      <c r="K214">
        <v>2771.1000979999999</v>
      </c>
      <c r="L214">
        <v>2702</v>
      </c>
      <c r="M214">
        <v>2767.1499020000001</v>
      </c>
      <c r="N214">
        <v>2696.7995609999998</v>
      </c>
      <c r="O214">
        <v>258988</v>
      </c>
      <c r="Z214" s="5">
        <v>44931</v>
      </c>
      <c r="AA214" s="6">
        <f>INDEX($A:$P,MATCH(Z214,$A:$A,0),MATCH($AA$1,$A$1:$P$1,0))</f>
        <v>2767.1499020000001</v>
      </c>
      <c r="AB214" s="6">
        <f>INDEX($A:$P,MATCH(Z214,$A:$A,0),MATCH($AB$1,$A$1:$P$1,0))</f>
        <v>287.95001200000002</v>
      </c>
    </row>
    <row r="215" spans="1:28" x14ac:dyDescent="0.3">
      <c r="A215" s="1">
        <v>44932</v>
      </c>
      <c r="C215">
        <v>290.70001200000002</v>
      </c>
      <c r="D215">
        <v>291</v>
      </c>
      <c r="E215">
        <v>281.10000600000001</v>
      </c>
      <c r="F215">
        <v>283.39999399999999</v>
      </c>
      <c r="G215">
        <v>283.39999399999999</v>
      </c>
      <c r="H215">
        <v>2199728</v>
      </c>
      <c r="J215">
        <v>2767</v>
      </c>
      <c r="K215">
        <v>2775.3500979999999</v>
      </c>
      <c r="L215">
        <v>2733.75</v>
      </c>
      <c r="M215">
        <v>2742.5500489999999</v>
      </c>
      <c r="N215">
        <v>2672.8251949999999</v>
      </c>
      <c r="O215">
        <v>162618</v>
      </c>
      <c r="Z215" s="5">
        <v>44932</v>
      </c>
      <c r="AA215" s="6">
        <f>INDEX($A:$P,MATCH(Z215,$A:$A,0),MATCH($AA$1,$A$1:$P$1,0))</f>
        <v>2742.5500489999999</v>
      </c>
      <c r="AB215" s="6">
        <f>INDEX($A:$P,MATCH(Z215,$A:$A,0),MATCH($AB$1,$A$1:$P$1,0))</f>
        <v>290.70001200000002</v>
      </c>
    </row>
    <row r="216" spans="1:28" x14ac:dyDescent="0.3">
      <c r="A216" s="1">
        <v>44935</v>
      </c>
      <c r="C216">
        <v>286.95001200000002</v>
      </c>
      <c r="D216">
        <v>294</v>
      </c>
      <c r="E216">
        <v>285.20001200000002</v>
      </c>
      <c r="F216">
        <v>287.70001200000002</v>
      </c>
      <c r="G216">
        <v>287.70001200000002</v>
      </c>
      <c r="H216">
        <v>1770223</v>
      </c>
      <c r="J216">
        <v>2757</v>
      </c>
      <c r="K216">
        <v>2772.3999020000001</v>
      </c>
      <c r="L216">
        <v>2740.25</v>
      </c>
      <c r="M216">
        <v>2752.3500979999999</v>
      </c>
      <c r="N216">
        <v>2682.3759770000001</v>
      </c>
      <c r="O216">
        <v>110658</v>
      </c>
      <c r="Z216" s="5">
        <v>44935</v>
      </c>
      <c r="AA216" s="6">
        <f>INDEX($A:$P,MATCH(Z216,$A:$A,0),MATCH($AA$1,$A$1:$P$1,0))</f>
        <v>2752.3500979999999</v>
      </c>
      <c r="AB216" s="6">
        <f>INDEX($A:$P,MATCH(Z216,$A:$A,0),MATCH($AB$1,$A$1:$P$1,0))</f>
        <v>286.95001200000002</v>
      </c>
    </row>
    <row r="217" spans="1:28" x14ac:dyDescent="0.3">
      <c r="A217" s="1">
        <v>44936</v>
      </c>
      <c r="C217">
        <v>287.95001200000002</v>
      </c>
      <c r="D217">
        <v>287.95001200000002</v>
      </c>
      <c r="E217">
        <v>274.64999399999999</v>
      </c>
      <c r="F217">
        <v>279.20001200000002</v>
      </c>
      <c r="G217">
        <v>279.20001200000002</v>
      </c>
      <c r="H217">
        <v>2577634</v>
      </c>
      <c r="J217">
        <v>2750</v>
      </c>
      <c r="K217">
        <v>2758.0500489999999</v>
      </c>
      <c r="L217">
        <v>2687.6999510000001</v>
      </c>
      <c r="M217">
        <v>2712.0500489999999</v>
      </c>
      <c r="N217">
        <v>2643.100586</v>
      </c>
      <c r="O217">
        <v>206381</v>
      </c>
      <c r="Z217" s="5">
        <v>44936</v>
      </c>
      <c r="AA217" s="6">
        <f>INDEX($A:$P,MATCH(Z217,$A:$A,0),MATCH($AA$1,$A$1:$P$1,0))</f>
        <v>2712.0500489999999</v>
      </c>
      <c r="AB217" s="6">
        <f>INDEX($A:$P,MATCH(Z217,$A:$A,0),MATCH($AB$1,$A$1:$P$1,0))</f>
        <v>287.95001200000002</v>
      </c>
    </row>
    <row r="218" spans="1:28" x14ac:dyDescent="0.3">
      <c r="A218" s="1">
        <v>44937</v>
      </c>
      <c r="C218">
        <v>281.79998799999998</v>
      </c>
      <c r="D218">
        <v>283.39999399999999</v>
      </c>
      <c r="E218">
        <v>274.54998799999998</v>
      </c>
      <c r="F218">
        <v>276.20001200000002</v>
      </c>
      <c r="G218">
        <v>276.20001200000002</v>
      </c>
      <c r="H218">
        <v>1976038</v>
      </c>
      <c r="J218">
        <v>2712.1000979999999</v>
      </c>
      <c r="K218">
        <v>2720</v>
      </c>
      <c r="L218">
        <v>2684.0500489999999</v>
      </c>
      <c r="M218">
        <v>2693.75</v>
      </c>
      <c r="N218">
        <v>2625.265625</v>
      </c>
      <c r="O218">
        <v>150551</v>
      </c>
      <c r="Z218" s="5">
        <v>44937</v>
      </c>
      <c r="AA218" s="6">
        <f>INDEX($A:$P,MATCH(Z218,$A:$A,0),MATCH($AA$1,$A$1:$P$1,0))</f>
        <v>2693.75</v>
      </c>
      <c r="AB218" s="6">
        <f>INDEX($A:$P,MATCH(Z218,$A:$A,0),MATCH($AB$1,$A$1:$P$1,0))</f>
        <v>281.79998799999998</v>
      </c>
    </row>
    <row r="219" spans="1:28" x14ac:dyDescent="0.3">
      <c r="A219" s="1">
        <v>44938</v>
      </c>
      <c r="C219">
        <v>277.64999399999999</v>
      </c>
      <c r="D219">
        <v>280.70001200000002</v>
      </c>
      <c r="E219">
        <v>270.04998799999998</v>
      </c>
      <c r="F219">
        <v>273.64999399999999</v>
      </c>
      <c r="G219">
        <v>273.64999399999999</v>
      </c>
      <c r="H219">
        <v>2016739</v>
      </c>
      <c r="J219">
        <v>2690</v>
      </c>
      <c r="K219">
        <v>2700.3000489999999</v>
      </c>
      <c r="L219">
        <v>2663</v>
      </c>
      <c r="M219">
        <v>2694.25</v>
      </c>
      <c r="N219">
        <v>2625.7529300000001</v>
      </c>
      <c r="O219">
        <v>163626</v>
      </c>
      <c r="Z219" s="5">
        <v>44938</v>
      </c>
      <c r="AA219" s="6">
        <f>INDEX($A:$P,MATCH(Z219,$A:$A,0),MATCH($AA$1,$A$1:$P$1,0))</f>
        <v>2694.25</v>
      </c>
      <c r="AB219" s="6">
        <f>INDEX($A:$P,MATCH(Z219,$A:$A,0),MATCH($AB$1,$A$1:$P$1,0))</f>
        <v>277.64999399999999</v>
      </c>
    </row>
    <row r="220" spans="1:28" x14ac:dyDescent="0.3">
      <c r="A220" s="1">
        <v>44939</v>
      </c>
      <c r="C220">
        <v>274.89999399999999</v>
      </c>
      <c r="D220">
        <v>280</v>
      </c>
      <c r="E220">
        <v>272</v>
      </c>
      <c r="F220">
        <v>278.70001200000002</v>
      </c>
      <c r="G220">
        <v>278.70001200000002</v>
      </c>
      <c r="H220">
        <v>1512469</v>
      </c>
      <c r="J220">
        <v>2683.3000489999999</v>
      </c>
      <c r="K220">
        <v>2744.8999020000001</v>
      </c>
      <c r="L220">
        <v>2683.3000489999999</v>
      </c>
      <c r="M220">
        <v>2728.4499510000001</v>
      </c>
      <c r="N220">
        <v>2659.0834960000002</v>
      </c>
      <c r="O220">
        <v>196440</v>
      </c>
      <c r="Z220" s="5">
        <v>44939</v>
      </c>
      <c r="AA220" s="6">
        <f>INDEX($A:$P,MATCH(Z220,$A:$A,0),MATCH($AA$1,$A$1:$P$1,0))</f>
        <v>2728.4499510000001</v>
      </c>
      <c r="AB220" s="6">
        <f>INDEX($A:$P,MATCH(Z220,$A:$A,0),MATCH($AB$1,$A$1:$P$1,0))</f>
        <v>274.89999399999999</v>
      </c>
    </row>
    <row r="221" spans="1:28" x14ac:dyDescent="0.3">
      <c r="A221" s="1">
        <v>44942</v>
      </c>
      <c r="C221">
        <v>281</v>
      </c>
      <c r="D221">
        <v>282.20001200000002</v>
      </c>
      <c r="E221">
        <v>271.5</v>
      </c>
      <c r="F221">
        <v>272.95001200000002</v>
      </c>
      <c r="G221">
        <v>272.95001200000002</v>
      </c>
      <c r="H221">
        <v>1956213</v>
      </c>
      <c r="J221">
        <v>2732</v>
      </c>
      <c r="K221">
        <v>2765</v>
      </c>
      <c r="L221">
        <v>2710</v>
      </c>
      <c r="M221">
        <v>2758.6000979999999</v>
      </c>
      <c r="N221">
        <v>2688.4670409999999</v>
      </c>
      <c r="O221">
        <v>362194</v>
      </c>
      <c r="Z221" s="5">
        <v>44942</v>
      </c>
      <c r="AA221" s="6">
        <f>INDEX($A:$P,MATCH(Z221,$A:$A,0),MATCH($AA$1,$A$1:$P$1,0))</f>
        <v>2758.6000979999999</v>
      </c>
      <c r="AB221" s="6">
        <f>INDEX($A:$P,MATCH(Z221,$A:$A,0),MATCH($AB$1,$A$1:$P$1,0))</f>
        <v>281</v>
      </c>
    </row>
    <row r="222" spans="1:28" x14ac:dyDescent="0.3">
      <c r="A222" s="1">
        <v>44943</v>
      </c>
      <c r="C222">
        <v>273.45001200000002</v>
      </c>
      <c r="D222">
        <v>283.25</v>
      </c>
      <c r="E222">
        <v>271.75</v>
      </c>
      <c r="F222">
        <v>281.95001200000002</v>
      </c>
      <c r="G222">
        <v>281.95001200000002</v>
      </c>
      <c r="H222">
        <v>2342614</v>
      </c>
      <c r="J222">
        <v>2765</v>
      </c>
      <c r="K222">
        <v>2769</v>
      </c>
      <c r="L222">
        <v>2729.6999510000001</v>
      </c>
      <c r="M222">
        <v>2766.8500979999999</v>
      </c>
      <c r="N222">
        <v>2696.5073240000002</v>
      </c>
      <c r="O222">
        <v>254062</v>
      </c>
      <c r="Z222" s="5">
        <v>44943</v>
      </c>
      <c r="AA222" s="6">
        <f>INDEX($A:$P,MATCH(Z222,$A:$A,0),MATCH($AA$1,$A$1:$P$1,0))</f>
        <v>2766.8500979999999</v>
      </c>
      <c r="AB222" s="6">
        <f>INDEX($A:$P,MATCH(Z222,$A:$A,0),MATCH($AB$1,$A$1:$P$1,0))</f>
        <v>273.45001200000002</v>
      </c>
    </row>
    <row r="223" spans="1:28" x14ac:dyDescent="0.3">
      <c r="A223" s="1">
        <v>44944</v>
      </c>
      <c r="C223">
        <v>282.5</v>
      </c>
      <c r="D223">
        <v>283</v>
      </c>
      <c r="E223">
        <v>277</v>
      </c>
      <c r="F223">
        <v>278.70001200000002</v>
      </c>
      <c r="G223">
        <v>278.70001200000002</v>
      </c>
      <c r="H223">
        <v>1202697</v>
      </c>
      <c r="J223">
        <v>2766.8999020000001</v>
      </c>
      <c r="K223">
        <v>2786.3500979999999</v>
      </c>
      <c r="L223">
        <v>2747.4499510000001</v>
      </c>
      <c r="M223">
        <v>2769.9499510000001</v>
      </c>
      <c r="N223">
        <v>2699.5283199999999</v>
      </c>
      <c r="O223">
        <v>159791</v>
      </c>
      <c r="Z223" s="5">
        <v>44944</v>
      </c>
      <c r="AA223" s="6">
        <f>INDEX($A:$P,MATCH(Z223,$A:$A,0),MATCH($AA$1,$A$1:$P$1,0))</f>
        <v>2769.9499510000001</v>
      </c>
      <c r="AB223" s="6">
        <f>INDEX($A:$P,MATCH(Z223,$A:$A,0),MATCH($AB$1,$A$1:$P$1,0))</f>
        <v>282.5</v>
      </c>
    </row>
    <row r="224" spans="1:28" x14ac:dyDescent="0.3">
      <c r="A224" s="1">
        <v>44945</v>
      </c>
      <c r="C224">
        <v>276.5</v>
      </c>
      <c r="D224">
        <v>280.45001200000002</v>
      </c>
      <c r="E224">
        <v>273.20001200000002</v>
      </c>
      <c r="F224">
        <v>277.54998799999998</v>
      </c>
      <c r="G224">
        <v>277.54998799999998</v>
      </c>
      <c r="H224">
        <v>1376944</v>
      </c>
      <c r="J224">
        <v>2762</v>
      </c>
      <c r="K224">
        <v>2779.75</v>
      </c>
      <c r="L224">
        <v>2751.6000979999999</v>
      </c>
      <c r="M224">
        <v>2769.5500489999999</v>
      </c>
      <c r="N224">
        <v>2699.138672</v>
      </c>
      <c r="O224">
        <v>140565</v>
      </c>
      <c r="Z224" s="5">
        <v>44945</v>
      </c>
      <c r="AA224" s="6">
        <f>INDEX($A:$P,MATCH(Z224,$A:$A,0),MATCH($AA$1,$A$1:$P$1,0))</f>
        <v>2769.5500489999999</v>
      </c>
      <c r="AB224" s="6">
        <f>INDEX($A:$P,MATCH(Z224,$A:$A,0),MATCH($AB$1,$A$1:$P$1,0))</f>
        <v>276.5</v>
      </c>
    </row>
    <row r="225" spans="1:28" x14ac:dyDescent="0.3">
      <c r="A225" s="1">
        <v>44946</v>
      </c>
      <c r="C225">
        <v>276.85000600000001</v>
      </c>
      <c r="D225">
        <v>277</v>
      </c>
      <c r="E225">
        <v>273.39999399999999</v>
      </c>
      <c r="F225">
        <v>275.04998799999998</v>
      </c>
      <c r="G225">
        <v>275.04998799999998</v>
      </c>
      <c r="H225">
        <v>1047243</v>
      </c>
      <c r="J225">
        <v>2767.5</v>
      </c>
      <c r="K225">
        <v>2767.5</v>
      </c>
      <c r="L225">
        <v>2729.3500979999999</v>
      </c>
      <c r="M225">
        <v>2746.4499510000001</v>
      </c>
      <c r="N225">
        <v>2676.625732</v>
      </c>
      <c r="O225">
        <v>300399</v>
      </c>
      <c r="Z225" s="5">
        <v>44946</v>
      </c>
      <c r="AA225" s="6">
        <f>INDEX($A:$P,MATCH(Z225,$A:$A,0),MATCH($AA$1,$A$1:$P$1,0))</f>
        <v>2746.4499510000001</v>
      </c>
      <c r="AB225" s="6">
        <f>INDEX($A:$P,MATCH(Z225,$A:$A,0),MATCH($AB$1,$A$1:$P$1,0))</f>
        <v>276.85000600000001</v>
      </c>
    </row>
    <row r="226" spans="1:28" x14ac:dyDescent="0.3">
      <c r="A226" s="1">
        <v>44949</v>
      </c>
      <c r="C226">
        <v>275.45001200000002</v>
      </c>
      <c r="D226">
        <v>276.70001200000002</v>
      </c>
      <c r="E226">
        <v>271.14999399999999</v>
      </c>
      <c r="F226">
        <v>273.20001200000002</v>
      </c>
      <c r="G226">
        <v>273.20001200000002</v>
      </c>
      <c r="H226">
        <v>1204085</v>
      </c>
      <c r="J226">
        <v>2751.4499510000001</v>
      </c>
      <c r="K226">
        <v>2812</v>
      </c>
      <c r="L226">
        <v>2750.0500489999999</v>
      </c>
      <c r="M226">
        <v>2774.6000979999999</v>
      </c>
      <c r="N226">
        <v>2704.0603030000002</v>
      </c>
      <c r="O226">
        <v>434312</v>
      </c>
      <c r="Z226" s="5">
        <v>44949</v>
      </c>
      <c r="AA226" s="6">
        <f>INDEX($A:$P,MATCH(Z226,$A:$A,0),MATCH($AA$1,$A$1:$P$1,0))</f>
        <v>2774.6000979999999</v>
      </c>
      <c r="AB226" s="6">
        <f>INDEX($A:$P,MATCH(Z226,$A:$A,0),MATCH($AB$1,$A$1:$P$1,0))</f>
        <v>275.45001200000002</v>
      </c>
    </row>
    <row r="227" spans="1:28" x14ac:dyDescent="0.3">
      <c r="A227" s="1">
        <v>44950</v>
      </c>
      <c r="C227">
        <v>274.70001200000002</v>
      </c>
      <c r="D227">
        <v>279.29998799999998</v>
      </c>
      <c r="E227">
        <v>272.29998799999998</v>
      </c>
      <c r="F227">
        <v>274.64999399999999</v>
      </c>
      <c r="G227">
        <v>274.64999399999999</v>
      </c>
      <c r="H227">
        <v>1465473</v>
      </c>
      <c r="J227">
        <v>2777</v>
      </c>
      <c r="K227">
        <v>2787</v>
      </c>
      <c r="L227">
        <v>2762.25</v>
      </c>
      <c r="M227">
        <v>2771.8999020000001</v>
      </c>
      <c r="N227">
        <v>2701.428711</v>
      </c>
      <c r="O227">
        <v>129633</v>
      </c>
      <c r="Z227" s="5">
        <v>44950</v>
      </c>
      <c r="AA227" s="6">
        <f>INDEX($A:$P,MATCH(Z227,$A:$A,0),MATCH($AA$1,$A$1:$P$1,0))</f>
        <v>2771.8999020000001</v>
      </c>
      <c r="AB227" s="6">
        <f>INDEX($A:$P,MATCH(Z227,$A:$A,0),MATCH($AB$1,$A$1:$P$1,0))</f>
        <v>274.70001200000002</v>
      </c>
    </row>
    <row r="228" spans="1:28" x14ac:dyDescent="0.3">
      <c r="A228" s="1">
        <v>44951</v>
      </c>
      <c r="C228">
        <v>273</v>
      </c>
      <c r="D228">
        <v>273</v>
      </c>
      <c r="E228">
        <v>260.95001200000002</v>
      </c>
      <c r="F228">
        <v>261</v>
      </c>
      <c r="G228">
        <v>261</v>
      </c>
      <c r="H228">
        <v>3626722</v>
      </c>
      <c r="J228">
        <v>2779</v>
      </c>
      <c r="K228">
        <v>2793</v>
      </c>
      <c r="L228">
        <v>2766</v>
      </c>
      <c r="M228">
        <v>2785</v>
      </c>
      <c r="N228">
        <v>2714.1958009999998</v>
      </c>
      <c r="O228">
        <v>356744</v>
      </c>
      <c r="Z228" s="5">
        <v>44951</v>
      </c>
      <c r="AA228" s="6">
        <f>INDEX($A:$P,MATCH(Z228,$A:$A,0),MATCH($AA$1,$A$1:$P$1,0))</f>
        <v>2785</v>
      </c>
      <c r="AB228" s="6">
        <f>INDEX($A:$P,MATCH(Z228,$A:$A,0),MATCH($AB$1,$A$1:$P$1,0))</f>
        <v>273</v>
      </c>
    </row>
    <row r="229" spans="1:28" x14ac:dyDescent="0.3">
      <c r="A229" s="1">
        <v>44953</v>
      </c>
      <c r="C229">
        <v>250</v>
      </c>
      <c r="D229">
        <v>250.050003</v>
      </c>
      <c r="E229">
        <v>247.949997</v>
      </c>
      <c r="F229">
        <v>247.949997</v>
      </c>
      <c r="G229">
        <v>247.949997</v>
      </c>
      <c r="H229">
        <v>2322603</v>
      </c>
      <c r="J229">
        <v>2788</v>
      </c>
      <c r="K229">
        <v>2810.1000979999999</v>
      </c>
      <c r="L229">
        <v>2714.6000979999999</v>
      </c>
      <c r="M229">
        <v>2736.1499020000001</v>
      </c>
      <c r="N229">
        <v>2666.5876459999999</v>
      </c>
      <c r="O229">
        <v>464092</v>
      </c>
      <c r="Z229" s="5">
        <v>44953</v>
      </c>
      <c r="AA229" s="6">
        <f>INDEX($A:$P,MATCH(Z229,$A:$A,0),MATCH($AA$1,$A$1:$P$1,0))</f>
        <v>2736.1499020000001</v>
      </c>
      <c r="AB229" s="6">
        <f>INDEX($A:$P,MATCH(Z229,$A:$A,0),MATCH($AB$1,$A$1:$P$1,0))</f>
        <v>250</v>
      </c>
    </row>
    <row r="230" spans="1:28" x14ac:dyDescent="0.3">
      <c r="A230" s="1">
        <v>44956</v>
      </c>
      <c r="C230">
        <v>235.550003</v>
      </c>
      <c r="D230">
        <v>235.550003</v>
      </c>
      <c r="E230">
        <v>235.550003</v>
      </c>
      <c r="F230">
        <v>235.550003</v>
      </c>
      <c r="G230">
        <v>235.550003</v>
      </c>
      <c r="H230">
        <v>1475925</v>
      </c>
      <c r="J230">
        <v>2723.0500489999999</v>
      </c>
      <c r="K230">
        <v>2764.9499510000001</v>
      </c>
      <c r="L230">
        <v>2681.1000979999999</v>
      </c>
      <c r="M230">
        <v>2702.3000489999999</v>
      </c>
      <c r="N230">
        <v>2633.5983890000002</v>
      </c>
      <c r="O230">
        <v>459196</v>
      </c>
      <c r="Z230" s="5">
        <v>44956</v>
      </c>
      <c r="AA230" s="6">
        <f>INDEX($A:$P,MATCH(Z230,$A:$A,0),MATCH($AA$1,$A$1:$P$1,0))</f>
        <v>2702.3000489999999</v>
      </c>
      <c r="AB230" s="6">
        <f>INDEX($A:$P,MATCH(Z230,$A:$A,0),MATCH($AB$1,$A$1:$P$1,0))</f>
        <v>235.550003</v>
      </c>
    </row>
    <row r="231" spans="1:28" x14ac:dyDescent="0.3">
      <c r="A231" s="1">
        <v>44957</v>
      </c>
      <c r="C231">
        <v>223.800003</v>
      </c>
      <c r="D231">
        <v>223.800003</v>
      </c>
      <c r="E231">
        <v>223.800003</v>
      </c>
      <c r="F231">
        <v>223.800003</v>
      </c>
      <c r="G231">
        <v>223.800003</v>
      </c>
      <c r="H231">
        <v>1489382</v>
      </c>
      <c r="J231">
        <v>2724.4499510000001</v>
      </c>
      <c r="K231">
        <v>2772</v>
      </c>
      <c r="L231">
        <v>2684.6000979999999</v>
      </c>
      <c r="M231">
        <v>2763.25</v>
      </c>
      <c r="N231">
        <v>2692.998779</v>
      </c>
      <c r="O231">
        <v>579601</v>
      </c>
      <c r="Z231" s="5">
        <v>44957</v>
      </c>
      <c r="AA231" s="6">
        <f>INDEX($A:$P,MATCH(Z231,$A:$A,0),MATCH($AA$1,$A$1:$P$1,0))</f>
        <v>2763.25</v>
      </c>
      <c r="AB231" s="6">
        <f>INDEX($A:$P,MATCH(Z231,$A:$A,0),MATCH($AB$1,$A$1:$P$1,0))</f>
        <v>223.800003</v>
      </c>
    </row>
    <row r="232" spans="1:28" x14ac:dyDescent="0.3">
      <c r="A232" s="1">
        <v>44958</v>
      </c>
      <c r="C232">
        <v>219</v>
      </c>
      <c r="D232">
        <v>223</v>
      </c>
      <c r="E232">
        <v>212.64999399999999</v>
      </c>
      <c r="F232">
        <v>212.64999399999999</v>
      </c>
      <c r="G232">
        <v>212.64999399999999</v>
      </c>
      <c r="H232">
        <v>14476793</v>
      </c>
      <c r="J232">
        <v>2775.5500489999999</v>
      </c>
      <c r="K232">
        <v>2822.8500979999999</v>
      </c>
      <c r="L232">
        <v>2675.0500489999999</v>
      </c>
      <c r="M232">
        <v>2727.25</v>
      </c>
      <c r="N232">
        <v>2657.9140630000002</v>
      </c>
      <c r="O232">
        <v>408279</v>
      </c>
      <c r="Z232" s="5">
        <v>44958</v>
      </c>
      <c r="AA232" s="6">
        <f>INDEX($A:$P,MATCH(Z232,$A:$A,0),MATCH($AA$1,$A$1:$P$1,0))</f>
        <v>2727.25</v>
      </c>
      <c r="AB232" s="6">
        <f>INDEX($A:$P,MATCH(Z232,$A:$A,0),MATCH($AB$1,$A$1:$P$1,0))</f>
        <v>219</v>
      </c>
    </row>
    <row r="233" spans="1:28" x14ac:dyDescent="0.3">
      <c r="A233" s="1">
        <v>44959</v>
      </c>
      <c r="C233">
        <v>202.050003</v>
      </c>
      <c r="D233">
        <v>202.050003</v>
      </c>
      <c r="E233">
        <v>202.050003</v>
      </c>
      <c r="F233">
        <v>202.050003</v>
      </c>
      <c r="G233">
        <v>202.050003</v>
      </c>
      <c r="H233">
        <v>768655</v>
      </c>
      <c r="J233">
        <v>2689</v>
      </c>
      <c r="K233">
        <v>2713.1999510000001</v>
      </c>
      <c r="L233">
        <v>2634.6000979999999</v>
      </c>
      <c r="M233">
        <v>2660.9499510000001</v>
      </c>
      <c r="N233">
        <v>2593.2995609999998</v>
      </c>
      <c r="O233">
        <v>453723</v>
      </c>
      <c r="Z233" s="5">
        <v>44959</v>
      </c>
      <c r="AA233" s="6">
        <f>INDEX($A:$P,MATCH(Z233,$A:$A,0),MATCH($AA$1,$A$1:$P$1,0))</f>
        <v>2660.9499510000001</v>
      </c>
      <c r="AB233" s="6">
        <f>INDEX($A:$P,MATCH(Z233,$A:$A,0),MATCH($AB$1,$A$1:$P$1,0))</f>
        <v>202.050003</v>
      </c>
    </row>
    <row r="234" spans="1:28" x14ac:dyDescent="0.3">
      <c r="A234" s="1">
        <v>44960</v>
      </c>
      <c r="C234">
        <v>191.949997</v>
      </c>
      <c r="D234">
        <v>191.949997</v>
      </c>
      <c r="E234">
        <v>191.949997</v>
      </c>
      <c r="F234">
        <v>191.949997</v>
      </c>
      <c r="G234">
        <v>191.949997</v>
      </c>
      <c r="H234">
        <v>990679</v>
      </c>
      <c r="J234">
        <v>2674.3000489999999</v>
      </c>
      <c r="K234">
        <v>2684.1499020000001</v>
      </c>
      <c r="L234">
        <v>2621.0500489999999</v>
      </c>
      <c r="M234">
        <v>2654.25</v>
      </c>
      <c r="N234">
        <v>2586.7700199999999</v>
      </c>
      <c r="O234">
        <v>328028</v>
      </c>
      <c r="Z234" s="5">
        <v>44960</v>
      </c>
      <c r="AA234" s="6">
        <f>INDEX($A:$P,MATCH(Z234,$A:$A,0),MATCH($AA$1,$A$1:$P$1,0))</f>
        <v>2654.25</v>
      </c>
      <c r="AB234" s="6">
        <f>INDEX($A:$P,MATCH(Z234,$A:$A,0),MATCH($AB$1,$A$1:$P$1,0))</f>
        <v>191.949997</v>
      </c>
    </row>
    <row r="235" spans="1:28" x14ac:dyDescent="0.3">
      <c r="A235" s="1">
        <v>44963</v>
      </c>
      <c r="C235">
        <v>182.35000600000001</v>
      </c>
      <c r="D235">
        <v>182.35000600000001</v>
      </c>
      <c r="E235">
        <v>182.35000600000001</v>
      </c>
      <c r="F235">
        <v>182.35000600000001</v>
      </c>
      <c r="G235">
        <v>182.35000600000001</v>
      </c>
      <c r="H235">
        <v>993619</v>
      </c>
      <c r="J235">
        <v>2652.0500489999999</v>
      </c>
      <c r="K235">
        <v>2704.8000489999999</v>
      </c>
      <c r="L235">
        <v>2645.1000979999999</v>
      </c>
      <c r="M235">
        <v>2695</v>
      </c>
      <c r="N235">
        <v>2626.4838869999999</v>
      </c>
      <c r="O235">
        <v>252416</v>
      </c>
      <c r="Z235" s="5">
        <v>44963</v>
      </c>
      <c r="AA235" s="6">
        <f>INDEX($A:$P,MATCH(Z235,$A:$A,0),MATCH($AA$1,$A$1:$P$1,0))</f>
        <v>2695</v>
      </c>
      <c r="AB235" s="6">
        <f>INDEX($A:$P,MATCH(Z235,$A:$A,0),MATCH($AB$1,$A$1:$P$1,0))</f>
        <v>182.35000600000001</v>
      </c>
    </row>
    <row r="236" spans="1:28" x14ac:dyDescent="0.3">
      <c r="A236" s="1">
        <v>44964</v>
      </c>
      <c r="C236">
        <v>173.25</v>
      </c>
      <c r="D236">
        <v>186</v>
      </c>
      <c r="E236">
        <v>173.25</v>
      </c>
      <c r="F236">
        <v>173.25</v>
      </c>
      <c r="G236">
        <v>173.25</v>
      </c>
      <c r="H236">
        <v>122308732</v>
      </c>
      <c r="J236">
        <v>2686</v>
      </c>
      <c r="K236">
        <v>2694.8000489999999</v>
      </c>
      <c r="L236">
        <v>2615.0500489999999</v>
      </c>
      <c r="M236">
        <v>2652.6000979999999</v>
      </c>
      <c r="N236">
        <v>2585.161865</v>
      </c>
      <c r="O236">
        <v>421543</v>
      </c>
      <c r="Z236" s="5">
        <v>44964</v>
      </c>
      <c r="AA236" s="6">
        <f>INDEX($A:$P,MATCH(Z236,$A:$A,0),MATCH($AA$1,$A$1:$P$1,0))</f>
        <v>2652.6000979999999</v>
      </c>
      <c r="AB236" s="6">
        <f>INDEX($A:$P,MATCH(Z236,$A:$A,0),MATCH($AB$1,$A$1:$P$1,0))</f>
        <v>173.25</v>
      </c>
    </row>
    <row r="237" spans="1:28" x14ac:dyDescent="0.3">
      <c r="A237" s="1">
        <v>44965</v>
      </c>
      <c r="C237">
        <v>173.25</v>
      </c>
      <c r="D237">
        <v>181.89999399999999</v>
      </c>
      <c r="E237">
        <v>171</v>
      </c>
      <c r="F237">
        <v>181.89999399999999</v>
      </c>
      <c r="G237">
        <v>181.89999399999999</v>
      </c>
      <c r="H237">
        <v>27906893</v>
      </c>
      <c r="J237">
        <v>2659.0500489999999</v>
      </c>
      <c r="K237">
        <v>2686.9499510000001</v>
      </c>
      <c r="L237">
        <v>2592.0500489999999</v>
      </c>
      <c r="M237">
        <v>2614.6499020000001</v>
      </c>
      <c r="N237">
        <v>2548.1765140000002</v>
      </c>
      <c r="O237">
        <v>793670</v>
      </c>
      <c r="Z237" s="5">
        <v>44965</v>
      </c>
      <c r="AA237" s="6">
        <f>INDEX($A:$P,MATCH(Z237,$A:$A,0),MATCH($AA$1,$A$1:$P$1,0))</f>
        <v>2614.6499020000001</v>
      </c>
      <c r="AB237" s="6">
        <f>INDEX($A:$P,MATCH(Z237,$A:$A,0),MATCH($AB$1,$A$1:$P$1,0))</f>
        <v>173.25</v>
      </c>
    </row>
    <row r="238" spans="1:28" x14ac:dyDescent="0.3">
      <c r="A238" s="1">
        <v>44966</v>
      </c>
      <c r="C238">
        <v>172.800003</v>
      </c>
      <c r="D238">
        <v>172.800003</v>
      </c>
      <c r="E238">
        <v>172.800003</v>
      </c>
      <c r="F238">
        <v>172.800003</v>
      </c>
      <c r="G238">
        <v>172.800003</v>
      </c>
      <c r="H238">
        <v>4471756</v>
      </c>
      <c r="J238">
        <v>2614</v>
      </c>
      <c r="K238">
        <v>2614</v>
      </c>
      <c r="L238">
        <v>2549.1000979999999</v>
      </c>
      <c r="M238">
        <v>2559.1999510000001</v>
      </c>
      <c r="N238">
        <v>2494.1364749999998</v>
      </c>
      <c r="O238">
        <v>1266011</v>
      </c>
      <c r="Z238" s="5">
        <v>44966</v>
      </c>
      <c r="AA238" s="6">
        <f>INDEX($A:$P,MATCH(Z238,$A:$A,0),MATCH($AA$1,$A$1:$P$1,0))</f>
        <v>2559.1999510000001</v>
      </c>
      <c r="AB238" s="6">
        <f>INDEX($A:$P,MATCH(Z238,$A:$A,0),MATCH($AB$1,$A$1:$P$1,0))</f>
        <v>172.800003</v>
      </c>
    </row>
    <row r="239" spans="1:28" x14ac:dyDescent="0.3">
      <c r="A239" s="1">
        <v>44967</v>
      </c>
      <c r="C239">
        <v>164.199997</v>
      </c>
      <c r="D239">
        <v>164.199997</v>
      </c>
      <c r="E239">
        <v>164.199997</v>
      </c>
      <c r="F239">
        <v>164.199997</v>
      </c>
      <c r="G239">
        <v>164.199997</v>
      </c>
      <c r="H239">
        <v>2082042</v>
      </c>
      <c r="J239">
        <v>2559.1999510000001</v>
      </c>
      <c r="K239">
        <v>2589.6499020000001</v>
      </c>
      <c r="L239">
        <v>2550.3000489999999</v>
      </c>
      <c r="M239">
        <v>2583.3000489999999</v>
      </c>
      <c r="N239">
        <v>2517.623779</v>
      </c>
      <c r="O239">
        <v>283858</v>
      </c>
      <c r="Z239" s="5">
        <v>44967</v>
      </c>
      <c r="AA239" s="6">
        <f>INDEX($A:$P,MATCH(Z239,$A:$A,0),MATCH($AA$1,$A$1:$P$1,0))</f>
        <v>2583.3000489999999</v>
      </c>
      <c r="AB239" s="6">
        <f>INDEX($A:$P,MATCH(Z239,$A:$A,0),MATCH($AB$1,$A$1:$P$1,0))</f>
        <v>164.199997</v>
      </c>
    </row>
    <row r="240" spans="1:28" x14ac:dyDescent="0.3">
      <c r="A240" s="1">
        <v>44970</v>
      </c>
      <c r="C240">
        <v>156</v>
      </c>
      <c r="D240">
        <v>163</v>
      </c>
      <c r="E240">
        <v>156</v>
      </c>
      <c r="F240">
        <v>156</v>
      </c>
      <c r="G240">
        <v>156</v>
      </c>
      <c r="H240">
        <v>5574579</v>
      </c>
      <c r="J240">
        <v>2593.9499510000001</v>
      </c>
      <c r="K240">
        <v>2602</v>
      </c>
      <c r="L240">
        <v>2555.0500489999999</v>
      </c>
      <c r="M240">
        <v>2561.5500489999999</v>
      </c>
      <c r="N240">
        <v>2496.4267580000001</v>
      </c>
      <c r="O240">
        <v>327921</v>
      </c>
      <c r="Z240" s="5">
        <v>44970</v>
      </c>
      <c r="AA240" s="6">
        <f>INDEX($A:$P,MATCH(Z240,$A:$A,0),MATCH($AA$1,$A$1:$P$1,0))</f>
        <v>2561.5500489999999</v>
      </c>
      <c r="AB240" s="6">
        <f>INDEX($A:$P,MATCH(Z240,$A:$A,0),MATCH($AB$1,$A$1:$P$1,0))</f>
        <v>156</v>
      </c>
    </row>
    <row r="241" spans="1:28" x14ac:dyDescent="0.3">
      <c r="A241" s="1">
        <v>44971</v>
      </c>
      <c r="C241">
        <v>148.199997</v>
      </c>
      <c r="D241">
        <v>148.199997</v>
      </c>
      <c r="E241">
        <v>148.199997</v>
      </c>
      <c r="F241">
        <v>148.199997</v>
      </c>
      <c r="G241">
        <v>148.199997</v>
      </c>
      <c r="H241">
        <v>940729</v>
      </c>
      <c r="J241">
        <v>2574.3999020000001</v>
      </c>
      <c r="K241">
        <v>2577.1000979999999</v>
      </c>
      <c r="L241">
        <v>2536.0500489999999</v>
      </c>
      <c r="M241">
        <v>2542.5</v>
      </c>
      <c r="N241">
        <v>2477.8610840000001</v>
      </c>
      <c r="O241">
        <v>409279</v>
      </c>
      <c r="Z241" s="5">
        <v>44971</v>
      </c>
      <c r="AA241" s="6">
        <f>INDEX($A:$P,MATCH(Z241,$A:$A,0),MATCH($AA$1,$A$1:$P$1,0))</f>
        <v>2542.5</v>
      </c>
      <c r="AB241" s="6">
        <f>INDEX($A:$P,MATCH(Z241,$A:$A,0),MATCH($AB$1,$A$1:$P$1,0))</f>
        <v>148.199997</v>
      </c>
    </row>
    <row r="242" spans="1:28" x14ac:dyDescent="0.3">
      <c r="A242" s="1">
        <v>44972</v>
      </c>
      <c r="C242">
        <v>140.800003</v>
      </c>
      <c r="D242">
        <v>140.800003</v>
      </c>
      <c r="E242">
        <v>140.800003</v>
      </c>
      <c r="F242">
        <v>140.800003</v>
      </c>
      <c r="G242">
        <v>140.800003</v>
      </c>
      <c r="H242">
        <v>1576621</v>
      </c>
      <c r="J242">
        <v>2545</v>
      </c>
      <c r="K242">
        <v>2575</v>
      </c>
      <c r="L242">
        <v>2537</v>
      </c>
      <c r="M242">
        <v>2572</v>
      </c>
      <c r="N242">
        <v>2506.6110840000001</v>
      </c>
      <c r="O242">
        <v>643367</v>
      </c>
      <c r="Z242" s="5">
        <v>44972</v>
      </c>
      <c r="AA242" s="6">
        <f>INDEX($A:$P,MATCH(Z242,$A:$A,0),MATCH($AA$1,$A$1:$P$1,0))</f>
        <v>2572</v>
      </c>
      <c r="AB242" s="6">
        <f>INDEX($A:$P,MATCH(Z242,$A:$A,0),MATCH($AB$1,$A$1:$P$1,0))</f>
        <v>140.800003</v>
      </c>
    </row>
    <row r="243" spans="1:28" x14ac:dyDescent="0.3">
      <c r="A243" s="1">
        <v>44973</v>
      </c>
      <c r="C243">
        <v>142</v>
      </c>
      <c r="D243">
        <v>147.800003</v>
      </c>
      <c r="E243">
        <v>142</v>
      </c>
      <c r="F243">
        <v>147.800003</v>
      </c>
      <c r="G243">
        <v>147.800003</v>
      </c>
      <c r="H243">
        <v>20084998</v>
      </c>
      <c r="J243">
        <v>2590</v>
      </c>
      <c r="K243">
        <v>2590</v>
      </c>
      <c r="L243">
        <v>2546.5</v>
      </c>
      <c r="M243">
        <v>2556.6999510000001</v>
      </c>
      <c r="N243">
        <v>2491.6999510000001</v>
      </c>
      <c r="O243">
        <v>433077</v>
      </c>
      <c r="Z243" s="5">
        <v>44973</v>
      </c>
      <c r="AA243" s="6">
        <f>INDEX($A:$P,MATCH(Z243,$A:$A,0),MATCH($AA$1,$A$1:$P$1,0))</f>
        <v>2556.6999510000001</v>
      </c>
      <c r="AB243" s="6">
        <f>INDEX($A:$P,MATCH(Z243,$A:$A,0),MATCH($AB$1,$A$1:$P$1,0))</f>
        <v>142</v>
      </c>
    </row>
    <row r="244" spans="1:28" x14ac:dyDescent="0.3">
      <c r="A244" s="1">
        <v>44974</v>
      </c>
      <c r="C244">
        <v>152.449997</v>
      </c>
      <c r="D244">
        <v>155.14999399999999</v>
      </c>
      <c r="E244">
        <v>152.050003</v>
      </c>
      <c r="F244">
        <v>155.14999399999999</v>
      </c>
      <c r="G244">
        <v>155.14999399999999</v>
      </c>
      <c r="H244">
        <v>3197811</v>
      </c>
      <c r="J244">
        <v>2492.9499510000001</v>
      </c>
      <c r="K244">
        <v>2539.1000979999999</v>
      </c>
      <c r="L244">
        <v>2492.9499510000001</v>
      </c>
      <c r="M244">
        <v>2535.5500489999999</v>
      </c>
      <c r="N244">
        <v>2535.5500489999999</v>
      </c>
      <c r="O244">
        <v>705628</v>
      </c>
      <c r="Z244" s="5">
        <v>44974</v>
      </c>
      <c r="AA244" s="6">
        <f>INDEX($A:$P,MATCH(Z244,$A:$A,0),MATCH($AA$1,$A$1:$P$1,0))</f>
        <v>2535.5500489999999</v>
      </c>
      <c r="AB244" s="6">
        <f>INDEX($A:$P,MATCH(Z244,$A:$A,0),MATCH($AB$1,$A$1:$P$1,0))</f>
        <v>152.449997</v>
      </c>
    </row>
    <row r="245" spans="1:28" x14ac:dyDescent="0.3">
      <c r="A245" s="1">
        <v>44977</v>
      </c>
      <c r="C245">
        <v>158.25</v>
      </c>
      <c r="D245">
        <v>162.89999399999999</v>
      </c>
      <c r="E245">
        <v>150.800003</v>
      </c>
      <c r="F245">
        <v>162.89999399999999</v>
      </c>
      <c r="G245">
        <v>162.89999399999999</v>
      </c>
      <c r="H245">
        <v>29505822</v>
      </c>
      <c r="J245">
        <v>2540</v>
      </c>
      <c r="K245">
        <v>2544.5</v>
      </c>
      <c r="L245">
        <v>2513.75</v>
      </c>
      <c r="M245">
        <v>2527.4499510000001</v>
      </c>
      <c r="N245">
        <v>2527.4499510000001</v>
      </c>
      <c r="O245">
        <v>182493</v>
      </c>
      <c r="Z245" s="5">
        <v>44977</v>
      </c>
      <c r="AA245" s="6">
        <f>INDEX($A:$P,MATCH(Z245,$A:$A,0),MATCH($AA$1,$A$1:$P$1,0))</f>
        <v>2527.4499510000001</v>
      </c>
      <c r="AB245" s="6">
        <f>INDEX($A:$P,MATCH(Z245,$A:$A,0),MATCH($AB$1,$A$1:$P$1,0))</f>
        <v>158.25</v>
      </c>
    </row>
    <row r="246" spans="1:28" x14ac:dyDescent="0.3">
      <c r="A246" s="1">
        <v>44978</v>
      </c>
      <c r="C246">
        <v>166.89999399999999</v>
      </c>
      <c r="D246">
        <v>171</v>
      </c>
      <c r="E246">
        <v>166.199997</v>
      </c>
      <c r="F246">
        <v>171</v>
      </c>
      <c r="G246">
        <v>171</v>
      </c>
      <c r="H246">
        <v>6646310</v>
      </c>
      <c r="J246">
        <v>2540</v>
      </c>
      <c r="K246">
        <v>2545</v>
      </c>
      <c r="L246">
        <v>2516.5</v>
      </c>
      <c r="M246">
        <v>2520.5500489999999</v>
      </c>
      <c r="N246">
        <v>2520.5500489999999</v>
      </c>
      <c r="O246">
        <v>203273</v>
      </c>
      <c r="Z246" s="5">
        <v>44978</v>
      </c>
      <c r="AA246" s="6">
        <f>INDEX($A:$P,MATCH(Z246,$A:$A,0),MATCH($AA$1,$A$1:$P$1,0))</f>
        <v>2520.5500489999999</v>
      </c>
      <c r="AB246" s="6">
        <f>INDEX($A:$P,MATCH(Z246,$A:$A,0),MATCH($AB$1,$A$1:$P$1,0))</f>
        <v>166.89999399999999</v>
      </c>
    </row>
    <row r="247" spans="1:28" x14ac:dyDescent="0.3">
      <c r="A247" s="1">
        <v>44979</v>
      </c>
      <c r="C247">
        <v>177</v>
      </c>
      <c r="D247">
        <v>178.89999399999999</v>
      </c>
      <c r="E247">
        <v>162.449997</v>
      </c>
      <c r="F247">
        <v>162.449997</v>
      </c>
      <c r="G247">
        <v>162.449997</v>
      </c>
      <c r="H247">
        <v>25913753</v>
      </c>
      <c r="J247">
        <v>2507</v>
      </c>
      <c r="K247">
        <v>2534.6499020000001</v>
      </c>
      <c r="L247">
        <v>2495</v>
      </c>
      <c r="M247">
        <v>2499.4499510000001</v>
      </c>
      <c r="N247">
        <v>2499.4499510000001</v>
      </c>
      <c r="O247">
        <v>310260</v>
      </c>
      <c r="Z247" s="5">
        <v>44979</v>
      </c>
      <c r="AA247" s="6">
        <f>INDEX($A:$P,MATCH(Z247,$A:$A,0),MATCH($AA$1,$A$1:$P$1,0))</f>
        <v>2499.4499510000001</v>
      </c>
      <c r="AB247" s="6">
        <f>INDEX($A:$P,MATCH(Z247,$A:$A,0),MATCH($AB$1,$A$1:$P$1,0))</f>
        <v>177</v>
      </c>
    </row>
    <row r="248" spans="1:28" x14ac:dyDescent="0.3">
      <c r="A248" s="1">
        <v>44980</v>
      </c>
      <c r="C248">
        <v>156.050003</v>
      </c>
      <c r="D248">
        <v>158.64999399999999</v>
      </c>
      <c r="E248">
        <v>154.35000600000001</v>
      </c>
      <c r="F248">
        <v>154.35000600000001</v>
      </c>
      <c r="G248">
        <v>154.35000600000001</v>
      </c>
      <c r="H248">
        <v>22738196</v>
      </c>
      <c r="J248">
        <v>2500.5500489999999</v>
      </c>
      <c r="K248">
        <v>2512.6000979999999</v>
      </c>
      <c r="L248">
        <v>2482.8000489999999</v>
      </c>
      <c r="M248">
        <v>2495.5</v>
      </c>
      <c r="N248">
        <v>2495.5</v>
      </c>
      <c r="O248">
        <v>294710</v>
      </c>
      <c r="Z248" s="5">
        <v>44980</v>
      </c>
      <c r="AA248" s="6">
        <f>INDEX($A:$P,MATCH(Z248,$A:$A,0),MATCH($AA$1,$A$1:$P$1,0))</f>
        <v>2495.5</v>
      </c>
      <c r="AB248" s="6">
        <f>INDEX($A:$P,MATCH(Z248,$A:$A,0),MATCH($AB$1,$A$1:$P$1,0))</f>
        <v>156.050003</v>
      </c>
    </row>
    <row r="249" spans="1:28" x14ac:dyDescent="0.3">
      <c r="A249" s="1">
        <v>44981</v>
      </c>
      <c r="C249">
        <v>150.10000600000001</v>
      </c>
      <c r="D249">
        <v>156.699997</v>
      </c>
      <c r="E249">
        <v>146.64999399999999</v>
      </c>
      <c r="F249">
        <v>146.64999399999999</v>
      </c>
      <c r="G249">
        <v>146.64999399999999</v>
      </c>
      <c r="H249">
        <v>12016838</v>
      </c>
      <c r="J249">
        <v>2496</v>
      </c>
      <c r="K249">
        <v>2508.5500489999999</v>
      </c>
      <c r="L249">
        <v>2481.3999020000001</v>
      </c>
      <c r="M249">
        <v>2485.6499020000001</v>
      </c>
      <c r="N249">
        <v>2485.6499020000001</v>
      </c>
      <c r="O249">
        <v>255112</v>
      </c>
      <c r="Z249" s="5">
        <v>44981</v>
      </c>
      <c r="AA249" s="6">
        <f>INDEX($A:$P,MATCH(Z249,$A:$A,0),MATCH($AA$1,$A$1:$P$1,0))</f>
        <v>2485.6499020000001</v>
      </c>
      <c r="AB249" s="6">
        <f>INDEX($A:$P,MATCH(Z249,$A:$A,0),MATCH($AB$1,$A$1:$P$1,0))</f>
        <v>150.10000600000001</v>
      </c>
    </row>
    <row r="250" spans="1:28" x14ac:dyDescent="0.3">
      <c r="A250" s="1">
        <v>44984</v>
      </c>
      <c r="C250">
        <v>142.050003</v>
      </c>
      <c r="D250">
        <v>145.60000600000001</v>
      </c>
      <c r="E250">
        <v>139.35000600000001</v>
      </c>
      <c r="F250">
        <v>139.35000600000001</v>
      </c>
      <c r="G250">
        <v>139.35000600000001</v>
      </c>
      <c r="H250">
        <v>9052898</v>
      </c>
      <c r="J250">
        <v>2485.6499020000001</v>
      </c>
      <c r="K250">
        <v>2488</v>
      </c>
      <c r="L250">
        <v>2430</v>
      </c>
      <c r="M250">
        <v>2437.5500489999999</v>
      </c>
      <c r="N250">
        <v>2437.5500489999999</v>
      </c>
      <c r="O250">
        <v>293883</v>
      </c>
      <c r="Z250" s="5">
        <v>44984</v>
      </c>
      <c r="AA250" s="6">
        <f>INDEX($A:$P,MATCH(Z250,$A:$A,0),MATCH($AA$1,$A$1:$P$1,0))</f>
        <v>2437.5500489999999</v>
      </c>
      <c r="AB250" s="6">
        <f>INDEX($A:$P,MATCH(Z250,$A:$A,0),MATCH($AB$1,$A$1:$P$1,0))</f>
        <v>142.050003</v>
      </c>
    </row>
  </sheetData>
  <dataValidations count="2">
    <dataValidation type="list" allowBlank="1" showInputMessage="1" showErrorMessage="1" sqref="R6" xr:uid="{738305C7-E053-4EFD-8180-E94E010ACC87}">
      <formula1>$A$1:$O$1</formula1>
    </dataValidation>
    <dataValidation type="list" allowBlank="1" showInputMessage="1" showErrorMessage="1" sqref="R7" xr:uid="{1F45EB9F-0F64-4C7B-9CF7-4158B4CA8988}">
      <formula1>$A$1:$P$1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ADANIPOWER.Xlsx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Shrestha S Bharadwaj</dc:creator>
  <cp:lastModifiedBy>Shrestha S Bharadwaj</cp:lastModifiedBy>
  <dcterms:created xsi:type="dcterms:W3CDTF">2023-03-02T15:51:00Z</dcterms:created>
  <dcterms:modified xsi:type="dcterms:W3CDTF">2023-03-02T17:18:25Z</dcterms:modified>
</cp:coreProperties>
</file>